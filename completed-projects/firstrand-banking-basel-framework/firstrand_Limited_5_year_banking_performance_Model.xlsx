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xr:revisionPtr revIDLastSave="0" documentId="8_{44308609-F6DE-49EF-976B-DA72153DFD6D}" xr6:coauthVersionLast="47" xr6:coauthVersionMax="47" xr10:uidLastSave="{00000000-0000-0000-0000-000000000000}"/>
  <bookViews>
    <workbookView xWindow="240" yWindow="105" windowWidth="14805" windowHeight="8010" firstSheet="15" activeTab="15" xr2:uid="{00000000-000D-0000-FFFF-FFFF00000000}"/>
  </bookViews>
  <sheets>
    <sheet name="00_ReadMe" sheetId="2" r:id="rId1"/>
    <sheet name="01_SourceMap" sheetId="1" r:id="rId2"/>
    <sheet name="02_RawFS" sheetId="3" r:id="rId3"/>
    <sheet name="03_KPI_Cal" sheetId="4" r:id="rId4"/>
    <sheet name="04_Trends" sheetId="5" r:id="rId5"/>
    <sheet name="05_ROE_DuPont" sheetId="6" r:id="rId6"/>
    <sheet name="06_Dashboard" sheetId="7" r:id="rId7"/>
    <sheet name="07_Notes" sheetId="8" r:id="rId8"/>
    <sheet name="08_Valuation_ROE_PB_RI_DDM" sheetId="9" r:id="rId9"/>
    <sheet name="09_Valuation_Report" sheetId="10" r:id="rId10"/>
    <sheet name="PROJECT 3 - CAPITAL &amp; RISK" sheetId="11" r:id="rId11"/>
    <sheet name="P3_01_Capital" sheetId="12" r:id="rId12"/>
    <sheet name="P3_02_Credit" sheetId="13" r:id="rId13"/>
    <sheet name="P3_03_Funding_Liquidity" sheetId="14" r:id="rId14"/>
    <sheet name="P3_04_Stress_Test" sheetId="15" r:id="rId15"/>
    <sheet name="P3_05_Summary" sheetId="16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14" l="1"/>
  <c r="D21" i="14"/>
  <c r="E21" i="14"/>
  <c r="F21" i="14"/>
  <c r="B21" i="14"/>
  <c r="D20" i="14"/>
  <c r="E20" i="14"/>
  <c r="F20" i="14"/>
  <c r="C20" i="14"/>
  <c r="D19" i="14"/>
  <c r="E19" i="14"/>
  <c r="F19" i="14"/>
  <c r="C19" i="14"/>
  <c r="C18" i="14"/>
  <c r="D18" i="14"/>
  <c r="E18" i="14"/>
  <c r="F18" i="14"/>
  <c r="B18" i="14"/>
  <c r="C22" i="13"/>
  <c r="D22" i="13"/>
  <c r="E22" i="13"/>
  <c r="F22" i="13"/>
  <c r="B22" i="13"/>
  <c r="C20" i="13"/>
  <c r="D20" i="13"/>
  <c r="E20" i="13"/>
  <c r="F20" i="13"/>
  <c r="B20" i="13"/>
  <c r="C19" i="13"/>
  <c r="D19" i="13"/>
  <c r="E19" i="13"/>
  <c r="F19" i="13"/>
  <c r="B19" i="13"/>
  <c r="C18" i="13"/>
  <c r="D18" i="13"/>
  <c r="E18" i="13"/>
  <c r="F18" i="13"/>
  <c r="B18" i="13"/>
  <c r="C10" i="13"/>
  <c r="D10" i="13"/>
  <c r="E10" i="13"/>
  <c r="F10" i="13"/>
  <c r="B10" i="13"/>
  <c r="C26" i="12"/>
  <c r="D26" i="12"/>
  <c r="E26" i="12"/>
  <c r="F26" i="12"/>
  <c r="B26" i="12"/>
  <c r="C25" i="12"/>
  <c r="D25" i="12"/>
  <c r="E25" i="12"/>
  <c r="F25" i="12"/>
  <c r="B25" i="12"/>
  <c r="C22" i="12"/>
  <c r="D22" i="12"/>
  <c r="E22" i="12"/>
  <c r="F22" i="12"/>
  <c r="B22" i="12"/>
  <c r="C17" i="12"/>
  <c r="D17" i="12"/>
  <c r="E17" i="12"/>
  <c r="F17" i="12"/>
  <c r="B17" i="12"/>
  <c r="C68" i="9"/>
  <c r="D68" i="9"/>
  <c r="B68" i="9"/>
  <c r="C67" i="9"/>
  <c r="D67" i="9"/>
  <c r="B67" i="9"/>
  <c r="C66" i="9"/>
  <c r="D66" i="9"/>
  <c r="B66" i="9"/>
  <c r="C65" i="9"/>
  <c r="D65" i="9"/>
  <c r="B65" i="9"/>
  <c r="C64" i="9"/>
  <c r="D64" i="9"/>
  <c r="B64" i="9"/>
  <c r="G54" i="9"/>
  <c r="F54" i="9"/>
  <c r="E54" i="9"/>
  <c r="D54" i="9"/>
  <c r="C54" i="9"/>
  <c r="B54" i="9"/>
  <c r="G53" i="9"/>
  <c r="F53" i="9"/>
  <c r="E53" i="9"/>
  <c r="D53" i="9"/>
  <c r="C53" i="9"/>
  <c r="B53" i="9"/>
  <c r="G52" i="9"/>
  <c r="F52" i="9"/>
  <c r="E52" i="9"/>
  <c r="D52" i="9"/>
  <c r="C52" i="9"/>
  <c r="B52" i="9"/>
  <c r="G51" i="9"/>
  <c r="F51" i="9"/>
  <c r="E51" i="9"/>
  <c r="D51" i="9"/>
  <c r="C51" i="9"/>
  <c r="B51" i="9"/>
  <c r="G50" i="9"/>
  <c r="F50" i="9"/>
  <c r="E50" i="9"/>
  <c r="D50" i="9"/>
  <c r="C50" i="9"/>
  <c r="B50" i="9"/>
  <c r="B49" i="9"/>
  <c r="G49" i="9"/>
  <c r="F49" i="9"/>
  <c r="E49" i="9"/>
  <c r="D49" i="9"/>
  <c r="C49" i="9"/>
  <c r="D43" i="9"/>
  <c r="C43" i="9"/>
  <c r="B43" i="9"/>
  <c r="D42" i="9"/>
  <c r="C42" i="9"/>
  <c r="B42" i="9"/>
  <c r="C39" i="9"/>
  <c r="D39" i="9"/>
  <c r="B39" i="9"/>
  <c r="C38" i="9"/>
  <c r="D38" i="9"/>
  <c r="B38" i="9"/>
  <c r="D37" i="9"/>
  <c r="C37" i="9"/>
  <c r="B37" i="9"/>
  <c r="C34" i="9"/>
  <c r="D34" i="9"/>
  <c r="B34" i="9"/>
  <c r="C33" i="9"/>
  <c r="D32" i="9"/>
  <c r="C32" i="9"/>
  <c r="D33" i="9"/>
  <c r="B33" i="9"/>
  <c r="B32" i="9"/>
  <c r="C29" i="9"/>
  <c r="D29" i="9"/>
  <c r="B29" i="9"/>
  <c r="C28" i="9"/>
  <c r="D28" i="9"/>
  <c r="B28" i="9"/>
  <c r="C27" i="9"/>
  <c r="D27" i="9"/>
  <c r="D21" i="9"/>
  <c r="D22" i="9" s="1"/>
  <c r="D23" i="9" s="1"/>
  <c r="D24" i="9" s="1"/>
  <c r="C21" i="9"/>
  <c r="C22" i="9" s="1"/>
  <c r="C23" i="9" s="1"/>
  <c r="C24" i="9" s="1"/>
  <c r="B21" i="9"/>
  <c r="B22" i="9" s="1"/>
  <c r="B23" i="9" s="1"/>
  <c r="B24" i="9" s="1"/>
  <c r="D17" i="9"/>
  <c r="C17" i="9"/>
  <c r="B17" i="9"/>
  <c r="D11" i="9"/>
  <c r="C11" i="9"/>
  <c r="B11" i="9"/>
  <c r="B26" i="7"/>
  <c r="B25" i="7"/>
  <c r="B24" i="7"/>
  <c r="B23" i="7"/>
  <c r="B16" i="7"/>
  <c r="B15" i="7"/>
  <c r="B9" i="7"/>
  <c r="B8" i="7"/>
  <c r="B7" i="7"/>
  <c r="C8" i="6"/>
  <c r="D8" i="6"/>
  <c r="E8" i="6"/>
  <c r="F8" i="6"/>
  <c r="B8" i="6"/>
  <c r="C6" i="6"/>
  <c r="D6" i="6"/>
  <c r="E6" i="6"/>
  <c r="F6" i="6"/>
  <c r="B6" i="6"/>
  <c r="C7" i="6"/>
  <c r="D7" i="6"/>
  <c r="E7" i="6"/>
  <c r="F7" i="6"/>
  <c r="B7" i="6"/>
  <c r="C5" i="6"/>
  <c r="D5" i="6"/>
  <c r="E5" i="6"/>
  <c r="F5" i="6"/>
  <c r="B5" i="6"/>
  <c r="C4" i="6"/>
  <c r="D4" i="6"/>
  <c r="E4" i="6"/>
  <c r="F4" i="6"/>
  <c r="B4" i="6"/>
  <c r="F18" i="4"/>
  <c r="F17" i="4"/>
  <c r="F14" i="4"/>
  <c r="F13" i="4"/>
  <c r="F12" i="4"/>
  <c r="D11" i="4"/>
  <c r="E11" i="4"/>
  <c r="F11" i="4"/>
  <c r="C11" i="4"/>
  <c r="D10" i="4"/>
  <c r="E10" i="4"/>
  <c r="F10" i="4"/>
  <c r="C10" i="4"/>
  <c r="D9" i="4"/>
  <c r="E9" i="4"/>
  <c r="F9" i="4"/>
  <c r="C9" i="4"/>
  <c r="C8" i="4"/>
  <c r="D8" i="4"/>
  <c r="E8" i="4"/>
  <c r="F8" i="4"/>
  <c r="B8" i="4"/>
  <c r="C7" i="4"/>
  <c r="D7" i="4"/>
  <c r="E7" i="4"/>
  <c r="F7" i="4"/>
  <c r="B7" i="4"/>
  <c r="C6" i="4"/>
  <c r="D6" i="4"/>
  <c r="E6" i="4"/>
  <c r="F6" i="4"/>
  <c r="B6" i="4"/>
  <c r="B27" i="9" l="1"/>
</calcChain>
</file>

<file path=xl/sharedStrings.xml><?xml version="1.0" encoding="utf-8"?>
<sst xmlns="http://schemas.openxmlformats.org/spreadsheetml/2006/main" count="593" uniqueCount="397">
  <si>
    <t>FirstRand Limited — 5-Year Banking Performance &amp; ROE Sustainability Model (FY2020–FY2024)</t>
  </si>
  <si>
    <t>Model Objective</t>
  </si>
  <si>
    <t>This model analyzes FirstRand Limited’s historical financial performance over FY2020–FY2024 to assess operating efficiency, profitability drivers, capital strength, and the sustainability of Return on Equity (ROE) through a full credit cycle.</t>
  </si>
  <si>
    <t>Model Structure</t>
  </si>
  <si>
    <t>Sheet</t>
  </si>
  <si>
    <t>Purpose</t>
  </si>
  <si>
    <t>01_SourceMap</t>
  </si>
  <si>
    <t>Traceability log of all financial data</t>
  </si>
  <si>
    <t>02_RawFS</t>
  </si>
  <si>
    <t>5-year financial data extracted from FY2024 AFS</t>
  </si>
  <si>
    <t>03_KPI_Cal</t>
  </si>
  <si>
    <t>Recalculated KPIs and growth metrics</t>
  </si>
  <si>
    <t>04_Trends</t>
  </si>
  <si>
    <t>Visual cycle analysis</t>
  </si>
  <si>
    <t>05_ROE_DuPont</t>
  </si>
  <si>
    <t>ROE decomposition (ROA × Leverage)</t>
  </si>
  <si>
    <t>06_Dashboard</t>
  </si>
  <si>
    <t>Executive summary view</t>
  </si>
  <si>
    <t>07_Notes</t>
  </si>
  <si>
    <t>Analytical conclusions</t>
  </si>
  <si>
    <t>Data Source</t>
  </si>
  <si>
    <t>All financial data sourced from FirstRand Limited FY2024 Annual Financial Statements — Five-Year Review section (A5–A7).</t>
  </si>
  <si>
    <t>Key Definitions</t>
  </si>
  <si>
    <t>ROE = Headline earnings / Average ordinary equity
ROA = Headline earnings / Average total assets
Leverage = Total assets / Total equity
CAGR formula used: ((Final / Initial)^(1/4)) – 1</t>
  </si>
  <si>
    <t>Limitations</t>
  </si>
  <si>
    <t>The analysis relies on summary five-year data from the FY2024 Annual Financial Statements and does not incorporate quarterly performance, forward guidance, or macroeconomic forecasting.</t>
  </si>
  <si>
    <t>All metrics sourced from FY2024 Annual Financial Statements – Five-Year Review table unless otherwise stated.</t>
  </si>
  <si>
    <t>Metric</t>
  </si>
  <si>
    <t>Statement</t>
  </si>
  <si>
    <t>Year</t>
  </si>
  <si>
    <t>Page</t>
  </si>
  <si>
    <t>Source Section</t>
  </si>
  <si>
    <t>RawFS Cell</t>
  </si>
  <si>
    <t>Adjustment</t>
  </si>
  <si>
    <t>Comments</t>
  </si>
  <si>
    <t>Net interest income</t>
  </si>
  <si>
    <t>IS</t>
  </si>
  <si>
    <t>FY2024</t>
  </si>
  <si>
    <t>FY2024 AFS – Five-Year Review (A5–A7)</t>
  </si>
  <si>
    <t>Five-Year Review Table</t>
  </si>
  <si>
    <t>02_RawFS!B6:F6</t>
  </si>
  <si>
    <t>None</t>
  </si>
  <si>
    <t>Before impairments</t>
  </si>
  <si>
    <t>Non-interest revenue</t>
  </si>
  <si>
    <t>02_RawFS!B7:F7</t>
  </si>
  <si>
    <t>Operating expenses</t>
  </si>
  <si>
    <t>02_RawFS!B8:F8</t>
  </si>
  <si>
    <t>Credit impairment charge</t>
  </si>
  <si>
    <t>02_RawFS!B9:F9</t>
  </si>
  <si>
    <t>Stored as positive</t>
  </si>
  <si>
    <t>Headline earnings</t>
  </si>
  <si>
    <t>02_RawFS!B10:F10</t>
  </si>
  <si>
    <t>Dividends declared</t>
  </si>
  <si>
    <t>02_RawFS!B11:F11</t>
  </si>
  <si>
    <t>Total assets</t>
  </si>
  <si>
    <t>BS</t>
  </si>
  <si>
    <t>02_RawFS!B16:F16</t>
  </si>
  <si>
    <t>Average total assets</t>
  </si>
  <si>
    <t>02_RawFS!B17:F17</t>
  </si>
  <si>
    <t>Gross loans / core lending advances</t>
  </si>
  <si>
    <t>02_RawFS!B18:F18</t>
  </si>
  <si>
    <t>Average loans</t>
  </si>
  <si>
    <t>02_RawFS!B19:F19</t>
  </si>
  <si>
    <t>Deposits</t>
  </si>
  <si>
    <t>02_RawFS!B20:F20</t>
  </si>
  <si>
    <t>Total ordinary equity</t>
  </si>
  <si>
    <t>02_RawFS!B21:F21</t>
  </si>
  <si>
    <t>CET1 capital</t>
  </si>
  <si>
    <t>02_RawFS!B22:F22</t>
  </si>
  <si>
    <t>ROE</t>
  </si>
  <si>
    <t>Key Ratios</t>
  </si>
  <si>
    <t>02_RawFS!B27:F27</t>
  </si>
  <si>
    <t>ROA</t>
  </si>
  <si>
    <t>02_RawFS!B28:F28</t>
  </si>
  <si>
    <t>Net interest margin (NIM)</t>
  </si>
  <si>
    <t>02_RawFS!B29:F29</t>
  </si>
  <si>
    <t>Cost-to-income ratio</t>
  </si>
  <si>
    <t>02_RawFS!B30:F30</t>
  </si>
  <si>
    <t>Credit loss ratio (CLR)</t>
  </si>
  <si>
    <t>02_RawFS!B31:F31</t>
  </si>
  <si>
    <t>CET1 ratio</t>
  </si>
  <si>
    <t>02_RawFS!B32:F32</t>
  </si>
  <si>
    <t>Income Statement</t>
  </si>
  <si>
    <t>R million</t>
  </si>
  <si>
    <t>FY2020</t>
  </si>
  <si>
    <t>FY2021</t>
  </si>
  <si>
    <t>FY2022</t>
  </si>
  <si>
    <t>FY2023</t>
  </si>
  <si>
    <t>Net Interest Income</t>
  </si>
  <si>
    <t>Credit impairments</t>
  </si>
  <si>
    <t>Dividends</t>
  </si>
  <si>
    <t>Balance Sheet</t>
  </si>
  <si>
    <t>Average assets</t>
  </si>
  <si>
    <t>Gross loans</t>
  </si>
  <si>
    <t>Total equity</t>
  </si>
  <si>
    <t>Published Ratios</t>
  </si>
  <si>
    <t>Ratio</t>
  </si>
  <si>
    <t>NIM</t>
  </si>
  <si>
    <t>Cost-to-income</t>
  </si>
  <si>
    <t>Credit loss ratio</t>
  </si>
  <si>
    <t>Recalculated Metrics</t>
  </si>
  <si>
    <t>KPI</t>
  </si>
  <si>
    <t>Total operating income</t>
  </si>
  <si>
    <t>Cost-to-income (recalc)</t>
  </si>
  <si>
    <t>Credit loss ratio (recalc)</t>
  </si>
  <si>
    <t>Loan growth YoY</t>
  </si>
  <si>
    <t>Deposit growth YoY</t>
  </si>
  <si>
    <t>Earnings growth YoY</t>
  </si>
  <si>
    <t>Earnings CAGR</t>
  </si>
  <si>
    <t>Loan CAGR</t>
  </si>
  <si>
    <t>Deposit CAGR</t>
  </si>
  <si>
    <t>ROE Analysis</t>
  </si>
  <si>
    <t>ROE - 5Y Average</t>
  </si>
  <si>
    <t>ROE - 5Y Std Dev</t>
  </si>
  <si>
    <t>FirstRand - 5-Year Performance Trends</t>
  </si>
  <si>
    <t>Component</t>
  </si>
  <si>
    <t>FY2025</t>
  </si>
  <si>
    <t>ROA (Reported)</t>
  </si>
  <si>
    <t>Financial Leverage (Assets / Equity)</t>
  </si>
  <si>
    <t>Implied ROE (ROA x Leverage)</t>
  </si>
  <si>
    <t>Reported ROE</t>
  </si>
  <si>
    <t>Difference (Implied - Reported)</t>
  </si>
  <si>
    <t>FirstRand Limited - 5-Year Performance Dashboard (FY2020-FY2024)</t>
  </si>
  <si>
    <t>Profitability Snapshot</t>
  </si>
  <si>
    <t>Value</t>
  </si>
  <si>
    <t>5Y Average ROE</t>
  </si>
  <si>
    <t>ROE Volatility (Std Dev)</t>
  </si>
  <si>
    <t>Earnings CAGR (5Y)</t>
  </si>
  <si>
    <t>Growth &amp; Funding</t>
  </si>
  <si>
    <t>Loan-to-Deposit Trend</t>
  </si>
  <si>
    <t>Deposits &gt; Loans</t>
  </si>
  <si>
    <t>Capital &amp; Risk Profile</t>
  </si>
  <si>
    <t>Latest CET1 Ratio</t>
  </si>
  <si>
    <t>Latest CET1 Loss Ratio</t>
  </si>
  <si>
    <t>Latest Cost-to-Income</t>
  </si>
  <si>
    <t>Latest NIM</t>
  </si>
  <si>
    <t>Executive Summary</t>
  </si>
  <si>
    <t>• 5-year average ROE of ~19% with moderate volatility (~3%)
• ROE recovery driven by ROA improvement, not leverage expansion
• Balanced loan &amp; deposit growth (~6% CAGR)
• Strong CET1 capital supports resilience</t>
  </si>
  <si>
    <t>FirstRand Limited – 5-Year Banking Performance &amp; ROE Sustainability Analysis (FY2020–FY2024)</t>
  </si>
  <si>
    <t>Data Sources</t>
  </si>
  <si>
    <t>All financial data was extracted from:
- FirstRand Limited Integrated Annual Reports (FY2020–FY2024)
- FY2024 Five-Year Review section (used for consolidated historical figures)
All amounts are presented in R million, unless otherwise stated. Ratios are expressed in percentages.</t>
  </si>
  <si>
    <t>Scope of Analysis</t>
  </si>
  <si>
    <t>This model evaluates:
- Profitability performance (ROE, ROA, NIM)
- Growth dynamics (Loans, Deposits, Earnings CAGR)
- Cost efficiency (Cost-to-Income)
- Credit quality (Credit Loss Ratio)
- Capital strength (CET1 Ratio)
- ROE sustainability using a simplified DuPont framework
Time horizon analysed: FY2020–FY2024 (5 years)</t>
  </si>
  <si>
    <t>Key Calculations &amp; Methodology</t>
  </si>
  <si>
    <r>
      <rPr>
        <sz val="11"/>
        <color rgb="FF000000"/>
        <rFont val="Aptos Narrow"/>
        <scheme val="minor"/>
      </rPr>
      <t xml:space="preserve">🔹 Total Operating Income
Defined as:
</t>
    </r>
    <r>
      <rPr>
        <i/>
        <sz val="11"/>
        <color rgb="FF000000"/>
        <rFont val="Aptos Narrow"/>
        <scheme val="minor"/>
      </rPr>
      <t xml:space="preserve">Net Interest Income + Non-Interest Revenue
</t>
    </r>
    <r>
      <rPr>
        <sz val="11"/>
        <color rgb="FF000000"/>
        <rFont val="Aptos Narrow"/>
        <scheme val="minor"/>
      </rPr>
      <t xml:space="preserve">
Used for recalculating cost-to-income ratio.
🔹 Cost-to-Income Ratio (Recalculated)
</t>
    </r>
    <r>
      <rPr>
        <i/>
        <sz val="11"/>
        <color rgb="FF000000"/>
        <rFont val="Aptos Narrow"/>
        <scheme val="minor"/>
      </rPr>
      <t xml:space="preserve">Operating Expenses ÷ Total Operating Income
</t>
    </r>
    <r>
      <rPr>
        <sz val="11"/>
        <color rgb="FF000000"/>
        <rFont val="Aptos Narrow"/>
        <scheme val="minor"/>
      </rPr>
      <t xml:space="preserve">
Purpose: Validate reported efficiency trends.
🔹 Credit Loss Ratio (Recalculated)
</t>
    </r>
    <r>
      <rPr>
        <i/>
        <sz val="11"/>
        <color rgb="FF000000"/>
        <rFont val="Aptos Narrow"/>
        <scheme val="minor"/>
      </rPr>
      <t xml:space="preserve">Credit Impairment Charge ÷ Average Loans
</t>
    </r>
    <r>
      <rPr>
        <sz val="11"/>
        <color rgb="FF000000"/>
        <rFont val="Aptos Narrow"/>
        <scheme val="minor"/>
      </rPr>
      <t xml:space="preserve">
Note:
Credit impairments were treated as positive values for ratio clarity.
🔹 CAGR (5-Year)
Formula used:
</t>
    </r>
    <r>
      <rPr>
        <i/>
        <sz val="11"/>
        <color rgb="FF000000"/>
        <rFont val="Aptos Narrow"/>
        <scheme val="minor"/>
      </rPr>
      <t xml:space="preserve">CAGR = (Ending Value ÷ Beginning Value)^(1/4) – 1
</t>
    </r>
    <r>
      <rPr>
        <sz val="11"/>
        <color rgb="FF000000"/>
        <rFont val="Aptos Narrow"/>
        <scheme val="minor"/>
      </rPr>
      <t xml:space="preserve">
Applied to:
- Earnings
- Loans
- Deposits
🔹 ROE Stability Analysis
Average ROE (5-Year)
- Mean of FY2020–FY2024 ROE
ROE Volatility
- Standard deviation of 5-year ROE (population method)
Purpose:
Measure earnings consistency and cyclicality.
🔹 Financial Leverage
</t>
    </r>
    <r>
      <rPr>
        <i/>
        <sz val="11"/>
        <color rgb="FF000000"/>
        <rFont val="Aptos Narrow"/>
        <scheme val="minor"/>
      </rPr>
      <t xml:space="preserve">Average Total Assets ÷ Total Ordinary Equity
</t>
    </r>
    <r>
      <rPr>
        <sz val="11"/>
        <color rgb="FF000000"/>
        <rFont val="Aptos Narrow"/>
        <scheme val="minor"/>
      </rPr>
      <t xml:space="preserve">
🔹 Simplified DuPont Identity
</t>
    </r>
    <r>
      <rPr>
        <i/>
        <sz val="11"/>
        <color rgb="FF000000"/>
        <rFont val="Aptos Narrow"/>
        <scheme val="minor"/>
      </rPr>
      <t xml:space="preserve">ROE ≈ ROA × Financial Leverage
</t>
    </r>
    <r>
      <rPr>
        <sz val="11"/>
        <color rgb="FF000000"/>
        <rFont val="Aptos Narrow"/>
        <scheme val="minor"/>
      </rPr>
      <t xml:space="preserve">
Used to test whether reported ROE is structurally supported by balance sheet leverage.</t>
    </r>
  </si>
  <si>
    <t>Key Observations</t>
  </si>
  <si>
    <t>🔹 Profitability
- 5-Year Average ROE: ~19%
- ROE volatility: Low (~3%), indicating earnings stability.
- NIM expanded post-FY2022, supporting improved profitability.
- Earnings CAGR (~21.7%) demonstrates strong recovery and growth post-pandemic.</t>
  </si>
  <si>
    <t>🔹 Efficiency
- Cost-to-income ratio remained within 50–53% range.
- Efficiency stable with moderate cyclicality.</t>
  </si>
  <si>
    <t>🔹 Credit Quality
- Credit loss ratio peaked in FY2020 (COVID impact).
- Normalised significantly by FY2022–FY2023.
- FY2024 shows mild cyclical uptick.</t>
  </si>
  <si>
    <t>🔹 Growth &amp; Funding
- Loan CAGR: ~6%
- Deposit CAGR: ~6.5%
- Deposits consistently exceed loans → healthy funding structure.
- Balanced asset-liability growth reduces liquidity stress risk.</t>
  </si>
  <si>
    <t>🔹 Capital Strength
- CET1 ratio consistently above regulatory minimum.
- Capital levels remained resilient across cycle.</t>
  </si>
  <si>
    <t>Overall Statement</t>
  </si>
  <si>
    <t>FirstRand demonstrates:
- Sustainable high-teens ROE
- Strong earnings recovery post-FY2020
- Controlled credit risk
- Stable leverage profile
- Healthy deposit-funded growth
- ROE appears structurally supported by operational performance rather than excessive leverage.</t>
  </si>
  <si>
    <t>Analysis based solely on published financial statements.
- No segment-level decomposition performed.
- No macroeconomic stress modelling included.
- Simplified DuPont (does not include tax burden or margin decomposition).</t>
  </si>
  <si>
    <t>FirstRand (FSR) - Project 2 Valuation (ROE / P-B / RI / DDM)</t>
  </si>
  <si>
    <t>Valuation Date:</t>
  </si>
  <si>
    <t>Units</t>
  </si>
  <si>
    <t>ZAR per share</t>
  </si>
  <si>
    <t>1) MARKET SNAPSHOT</t>
  </si>
  <si>
    <t>Base</t>
  </si>
  <si>
    <t>Bull</t>
  </si>
  <si>
    <t>Bear</t>
  </si>
  <si>
    <t>Notes</t>
  </si>
  <si>
    <t>Share Price (P0)</t>
  </si>
  <si>
    <t>JSE close 13 Feb 2026</t>
  </si>
  <si>
    <t>BVPS (Book value/share)</t>
  </si>
  <si>
    <t>FY2025 Annual Results</t>
  </si>
  <si>
    <t>DPS (Dividend/Share)</t>
  </si>
  <si>
    <t>FY2025 total dividend</t>
  </si>
  <si>
    <t>Current P/B</t>
  </si>
  <si>
    <t>Market Multiple (Auto)</t>
  </si>
  <si>
    <t>2) COST OF EQUITY (CAPM)</t>
  </si>
  <si>
    <t>Risk-free Rate (Rf)</t>
  </si>
  <si>
    <t>Equity Risk Premium (ERP)</t>
  </si>
  <si>
    <t>Beta (β)</t>
  </si>
  <si>
    <t>Cost of equity (Ke)</t>
  </si>
  <si>
    <t>3) SUSTAINABLE ROE &amp; GROWTH</t>
  </si>
  <si>
    <t>Sustainable ROE (ROE_s)</t>
  </si>
  <si>
    <t>Earnings Per Share Implied (EPS0)</t>
  </si>
  <si>
    <t>Payout Ratio (p)</t>
  </si>
  <si>
    <t>Retention Ratio (b)</t>
  </si>
  <si>
    <t>Sustainable Growth (g)</t>
  </si>
  <si>
    <t>4) JUSTIFIED P/B (ROE vs Ke)</t>
  </si>
  <si>
    <t>Justified P/B</t>
  </si>
  <si>
    <t>Fair Value (P*)</t>
  </si>
  <si>
    <t>Upside/(Downside)</t>
  </si>
  <si>
    <t>5) MARKET-IMPLIED EXPECTATIONS</t>
  </si>
  <si>
    <t>Market P/B</t>
  </si>
  <si>
    <t>Implied ROE (market)</t>
  </si>
  <si>
    <t>Gap: ROE - Implied</t>
  </si>
  <si>
    <t>6) RESIDUAL INCOME (RI) - CROSS-CHECK</t>
  </si>
  <si>
    <t>Excess Return (ROE - Ke)</t>
  </si>
  <si>
    <t>RI-Justified P/B</t>
  </si>
  <si>
    <t>RI Fair Value</t>
  </si>
  <si>
    <t>7) DDM - CROSS-CHECK</t>
  </si>
  <si>
    <t>DPS1</t>
  </si>
  <si>
    <t>DDM Value</t>
  </si>
  <si>
    <t>8) SENSITIVITY TABLES</t>
  </si>
  <si>
    <t>ROE \ Ke</t>
  </si>
  <si>
    <t xml:space="preserve">9) VALUATION SUMMARY </t>
  </si>
  <si>
    <t>Current Price</t>
  </si>
  <si>
    <t>Fair Value (Justified P/B)</t>
  </si>
  <si>
    <t>Implied ROE at Market</t>
  </si>
  <si>
    <t>Sustainable ROE Assumption</t>
  </si>
  <si>
    <t>Call</t>
  </si>
  <si>
    <t>Project 2 - Banking Valuation Framework</t>
  </si>
  <si>
    <t>FirstRand Limited</t>
  </si>
  <si>
    <t>Valuation Date: 14-Feb-2026</t>
  </si>
  <si>
    <t>Valuation Objective</t>
  </si>
  <si>
    <t>The objective of this section is to translate the sustainable ROE analysis from Project 1 into a justified valuation framework.</t>
  </si>
  <si>
    <t>The valuation approach incorporates:
- Price-to-Book (P/B) anchored to sustainable ROE
- Residual Income (RI) cross-check
- Dividend Discount Model (DDM) cross-check
- Market-implied expectations analysis
- ROE versus Cost of Equity (Ke) sensitivity testing</t>
  </si>
  <si>
    <t>Core Question:
Does the current market valuation fairly reflect sustainable ROE and long-term growth expectations?</t>
  </si>
  <si>
    <t>Market Snapshot</t>
  </si>
  <si>
    <t>Current Share Price: R95
Book Value Per Share (BVPS): R38.84
Current Price-to-Book (P/B): 2.45x
Dividend per Share (FY2025): R4.66</t>
  </si>
  <si>
    <t>At 2.45x book value, FirstRand trades at a premium to its equity base. This premium implies sustained value creation above the cost of equity.</t>
  </si>
  <si>
    <t>Base Case Valuation</t>
  </si>
  <si>
    <t>(Sustainable ROE: 20% | Cost of Equity: approximately 14%)</t>
  </si>
  <si>
    <t>Methodology:</t>
  </si>
  <si>
    <t>P/B = (ROE - g) / (Ke - g)</t>
  </si>
  <si>
    <t>Assumptions:</t>
  </si>
  <si>
    <t>Sustainable ROE = 20%</t>
  </si>
  <si>
    <t>Long-term growth (g) = approximately 8%</t>
  </si>
  <si>
    <t>Cost of Equity (Ke) = approximately 14%</t>
  </si>
  <si>
    <t>Results:</t>
  </si>
  <si>
    <t>Justified P/B = 1.91x</t>
  </si>
  <si>
    <t>Fair Value = R74</t>
  </si>
  <si>
    <t>Downside vs Current Price = approximately -22%</t>
  </si>
  <si>
    <t>Market-implied ROE at R95 = 23.38%</t>
  </si>
  <si>
    <t>This exceeds management's long-term target range of 18-22%</t>
  </si>
  <si>
    <t>Interpretation:</t>
  </si>
  <si>
    <t>Under base assumptions, the marketis pricing structurally elevated profitability relative to sustainable mid-cycle levels</t>
  </si>
  <si>
    <t>Bull Case Scenario</t>
  </si>
  <si>
    <t>(ROE: 22% | Lower Cost of Equity)</t>
  </si>
  <si>
    <t>Sustainable ROE = 22%</t>
  </si>
  <si>
    <t>Lower structural cost of Equity</t>
  </si>
  <si>
    <t>Justified P/B = 4.37x</t>
  </si>
  <si>
    <t>Fair Value= R170</t>
  </si>
  <si>
    <t>Upside vs Current Price = approximately +79%</t>
  </si>
  <si>
    <t>If FirstRand sustains ROE at the upper end of management's target range and benefits from lower risk premiums, current valuation could prove conservative.</t>
  </si>
  <si>
    <t>Bear Case Scenario</t>
  </si>
  <si>
    <t>(ROE: 18% | Higher Cost of Equity)</t>
  </si>
  <si>
    <t>Sustainable ROE = 18%</t>
  </si>
  <si>
    <t>Higher Structural Cost of Equity</t>
  </si>
  <si>
    <t>Justified P/B = 1.20x</t>
  </si>
  <si>
    <t>Fair Value = R47</t>
  </si>
  <si>
    <t>Downside vs Current Price = approximately -51%</t>
  </si>
  <si>
    <t>If profitability mean-reverts toward the lower bound of management's range and equity risk premiums rise, material valuation compression could occur.</t>
  </si>
  <si>
    <t>Market-Implied Expectations</t>
  </si>
  <si>
    <t>At a market multiple of 2.45x book value, the implied sustainable ROE is approximately 23-24%. This exceeds management's long term target range of 18-22%.</t>
  </si>
  <si>
    <t>The market is therefore assuming one or more of the following:</t>
  </si>
  <si>
    <t>a) Structural ROE sustainability above 22%</t>
  </si>
  <si>
    <t>b) A lower long-run cost of equity</t>
  </si>
  <si>
    <t>c) Continued favourable credit and margin conditions</t>
  </si>
  <si>
    <t>This implies limited margin for executive error.</t>
  </si>
  <si>
    <t>Sensitivity Analysis</t>
  </si>
  <si>
    <t>Using a conservative long-term growth rate of 6%, the ROE-Ke sensitivity analysis shows:</t>
  </si>
  <si>
    <t>At Ke of approximately 14%:</t>
  </si>
  <si>
    <t>ROE 20% → Justified P/B approximately 1.75x</t>
  </si>
  <si>
    <t>ROE 24% → Justified P/B approximately 2.25x</t>
  </si>
  <si>
    <t>ROE 26% → Justified P/B approximately 2.50x</t>
  </si>
  <si>
    <t>With the market trading at 2.45x book, valuation implies sustainable ROE closer to 24-25% if cost of equity remains near 14%. Such profitability exceeds historical through-the-cycle averages.</t>
  </si>
  <si>
    <t>Model Cross-Checks</t>
  </si>
  <si>
    <t>Residual Income Model:</t>
  </si>
  <si>
    <t>Outputs are consistent with justified P/B results, confirming internal model stability.</t>
  </si>
  <si>
    <t>Dividend Discount Model:</t>
  </si>
  <si>
    <t>Produces slightly higher valuation due to strong payout profile but remains directionally aligned.</t>
  </si>
  <si>
    <t>All approaches confirm that valuation is highly sensitive to sustained ROE above 22%.</t>
  </si>
  <si>
    <t>Overall Valuation Assessment</t>
  </si>
  <si>
    <t>Under base assumptions (20% sustainable ROE, 14% cost of equity), FirstRand appears fully valued to moderately overvalued.</t>
  </si>
  <si>
    <t xml:space="preserve">The current price reflects expectations of structurally elevated profitability rather than pricing inefficiency. </t>
  </si>
  <si>
    <t>The stock is priced for sustained excellence.</t>
  </si>
  <si>
    <t>Valuation Conclusion</t>
  </si>
  <si>
    <t>FirstRand remains a high-quality banking franchise capable of generating high-teens to low-20s ROE through the cycle.</t>
  </si>
  <si>
    <t>However, at 2.45x book value, the market appears to discount sustainable ROE above management's long-term range.</t>
  </si>
  <si>
    <t>Valuation risk emerges if:</t>
  </si>
  <si>
    <t>a) ROE normalizes toward 18-20%, or</t>
  </si>
  <si>
    <t>b) Cost of Equity re-rates higher.</t>
  </si>
  <si>
    <t>Upside from current levels requires confirmation that ROE above 22% is structurally sustainable rather than cyclically elevated.</t>
  </si>
  <si>
    <t>Project 3 – Financial Strength &amp; Risk Assessment</t>
  </si>
  <si>
    <t>Capital adequacy</t>
  </si>
  <si>
    <t>Credit discipline</t>
  </si>
  <si>
    <t>Funding structure</t>
  </si>
  <si>
    <t>Liquidity position</t>
  </si>
  <si>
    <t>Stress testing framework</t>
  </si>
  <si>
    <t>FirstRand – Capital Adequacy &amp; Buffer Analysis</t>
  </si>
  <si>
    <t>Coverage: FY2020–FY2024</t>
  </si>
  <si>
    <t>Raw Extracted Data</t>
  </si>
  <si>
    <t>FY20</t>
  </si>
  <si>
    <t>FY21</t>
  </si>
  <si>
    <t>FY22</t>
  </si>
  <si>
    <t>FY23</t>
  </si>
  <si>
    <t>FY24</t>
  </si>
  <si>
    <t>CET1 ratio (%)</t>
  </si>
  <si>
    <t>Total capital ratio (%)</t>
  </si>
  <si>
    <t>Risk-weighted assets (RWA)</t>
  </si>
  <si>
    <t>CET1 capital (R)</t>
  </si>
  <si>
    <t>Regulatory minimum CET1 (%)</t>
  </si>
  <si>
    <t>Management target range (if disclosed)</t>
  </si>
  <si>
    <t>11%-12%</t>
  </si>
  <si>
    <t>Dividends paid</t>
  </si>
  <si>
    <t>Headline earnings (R million)</t>
  </si>
  <si>
    <t>Retained earnings (calc)</t>
  </si>
  <si>
    <t>Derived Metrics (Analytical Layer)</t>
  </si>
  <si>
    <t>CET1 buffer (%)</t>
  </si>
  <si>
    <t>RWA growth (%)</t>
  </si>
  <si>
    <t>CET1 growth (%)</t>
  </si>
  <si>
    <t>Payout ratio (%)</t>
  </si>
  <si>
    <t>Capital build (R)</t>
  </si>
  <si>
    <t>Credit Quality &amp; Provisioning Analysis</t>
  </si>
  <si>
    <t>Raw Inputs</t>
  </si>
  <si>
    <t>Stage 3 / NPLs</t>
  </si>
  <si>
    <t>Performing loans</t>
  </si>
  <si>
    <t>ECL allowance</t>
  </si>
  <si>
    <t>Impairment charge</t>
  </si>
  <si>
    <t>Credit loss ratio (%)</t>
  </si>
  <si>
    <t>Derived Ratios</t>
  </si>
  <si>
    <t>Stage 3 ratio (%)</t>
  </si>
  <si>
    <t>Coverage ratio (%)</t>
  </si>
  <si>
    <t>Performing loan ratio (%)</t>
  </si>
  <si>
    <t>Cost of risk trend</t>
  </si>
  <si>
    <t>Impairment-to-loans (%)</t>
  </si>
  <si>
    <t>Funding Structure &amp; Liquidity Resilience</t>
  </si>
  <si>
    <t>Customer deposits</t>
  </si>
  <si>
    <t>Total funding liabilities</t>
  </si>
  <si>
    <t>Wholesale funding</t>
  </si>
  <si>
    <t>Retail deposits</t>
  </si>
  <si>
    <t>LCR (%)</t>
  </si>
  <si>
    <t>NSFR (%)</t>
  </si>
  <si>
    <t>Loan-to-deposit ratio (%)</t>
  </si>
  <si>
    <t>Deposit growth (%)</t>
  </si>
  <si>
    <t>Loan growth (%)</t>
  </si>
  <si>
    <t>Wholesale funding ratio (%)</t>
  </si>
  <si>
    <t>Liquidity buffer (%)</t>
  </si>
  <si>
    <t>Stress Assumptions</t>
  </si>
  <si>
    <t>Variable</t>
  </si>
  <si>
    <t>Mild</t>
  </si>
  <si>
    <t>Severe</t>
  </si>
  <si>
    <t>NIM change</t>
  </si>
  <si>
    <t>0bps</t>
  </si>
  <si>
    <t>-20bps</t>
  </si>
  <si>
    <t>-50bps</t>
  </si>
  <si>
    <t>Cost increase</t>
  </si>
  <si>
    <t>RWA growth</t>
  </si>
  <si>
    <t>Impact on Earnings</t>
  </si>
  <si>
    <t>Scenario</t>
  </si>
  <si>
    <t>Earnings</t>
  </si>
  <si>
    <t>CET1 buffer</t>
  </si>
  <si>
    <t>Financial Strength &amp; Risk Summary</t>
  </si>
  <si>
    <t>Capital Adequacy Assessment</t>
  </si>
  <si>
    <t>Key Metrics (FY2024)</t>
  </si>
  <si>
    <t>- CET1 ratio: 13.5%</t>
  </si>
  <si>
    <t>- Regulatory minimum: 9.0%</t>
  </si>
  <si>
    <t>- CET1 buffer: 4.5%</t>
  </si>
  <si>
    <t>- Internal target: 11–12%</t>
  </si>
  <si>
    <t>Capital build is positive.</t>
  </si>
  <si>
    <t>Conclusion:</t>
  </si>
  <si>
    <t>FirstRand maintains a material buffer above regulatory and internal targets.</t>
  </si>
  <si>
    <t>Capital generation remains strong through-cycle.</t>
  </si>
  <si>
    <t>Balance sheet is not capital constrained.</t>
  </si>
  <si>
    <t>Credit Risk Assessment</t>
  </si>
  <si>
    <t>Through-cycle observations:</t>
  </si>
  <si>
    <t>Stage 3 ratio normalized to ~4.1%</t>
  </si>
  <si>
    <t>Coverage ratio ~80%</t>
  </si>
  <si>
    <t>Cost of risk normalizing to 0.75–0.85%</t>
  </si>
  <si>
    <t>Stress test severe CLR (1.8%) keeps CET1 buffer &gt;3%</t>
  </si>
  <si>
    <t>Asset quality is normalizing post-rate cycle.</t>
  </si>
  <si>
    <t>Provisioning remains conservative.</t>
  </si>
  <si>
    <t>Earnings sensitivity exists but does not threaten solvency.</t>
  </si>
  <si>
    <t>Funding &amp; Liquidity Assessment</t>
  </si>
  <si>
    <t>Structural observations:</t>
  </si>
  <si>
    <t>Loan-to-deposit ratio improved to 96.6%</t>
  </si>
  <si>
    <t>Wholesale funding reliance declining (~13.9%)</t>
  </si>
  <si>
    <t>LCR = 118%</t>
  </si>
  <si>
    <t>NSFR = 120%</t>
  </si>
  <si>
    <t>Funding profile is deposit-led and structurally stable.</t>
  </si>
  <si>
    <t>Liquidity buffers remain comfortably above regulatory minimum.</t>
  </si>
  <si>
    <t>No signs of funding fragility.</t>
  </si>
  <si>
    <t>Stress Test Outcome</t>
  </si>
  <si>
    <t>CET1 Buffer</t>
  </si>
  <si>
    <t>17.9%</t>
  </si>
  <si>
    <t>4.5%</t>
  </si>
  <si>
    <t>14.8%</t>
  </si>
  <si>
    <t>3.6%</t>
  </si>
  <si>
    <t>10.1%</t>
  </si>
  <si>
    <t>3.3%</t>
  </si>
  <si>
    <t>Even under severe stress:</t>
  </si>
  <si>
    <t>Capital buffer remains &gt;3%</t>
  </si>
  <si>
    <t>ROE remains positive</t>
  </si>
  <si>
    <t>Bank does not breach regulatory capital</t>
  </si>
  <si>
    <t>This confirms durability.</t>
  </si>
  <si>
    <t>Overall Risk Assessment: LOW–MODERATE</t>
  </si>
  <si>
    <t>• Capital strength: Strong</t>
  </si>
  <si>
    <t>• Credit risk: Normalizing</t>
  </si>
  <si>
    <t>• Funding risk: Low</t>
  </si>
  <si>
    <t>• Liquidity risk: Low</t>
  </si>
  <si>
    <t>• Earnings sensitivity: Manageable</t>
  </si>
  <si>
    <t>FirstRand can absorb a macro downturn without breaching capital requirements or losing structural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</si>
</sst>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>
    <font>
      <sz val="11"/>
      <color theme="1"/>
      <name val="Aptos Narrow"/>
      <family val="2"/>
      <scheme val="minor"/>
    </font>
    <font>
      <sz val="11"/>
      <color theme="1"/>
      <name val="Segoe UI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000000"/>
      <name val="Aptos Narrow"/>
      <scheme val="minor"/>
    </font>
    <font>
      <i/>
      <sz val="11"/>
      <color rgb="FF000000"/>
      <name val="Aptos Narrow"/>
      <scheme val="minor"/>
    </font>
    <font>
      <b/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9" fontId="0" fillId="0" borderId="0" xfId="0" applyNumberFormat="1"/>
    <xf numFmtId="10" fontId="0" fillId="0" borderId="0" xfId="0" applyNumberFormat="1"/>
    <xf numFmtId="0" fontId="0" fillId="0" borderId="0" xfId="0" quotePrefix="1"/>
    <xf numFmtId="0" fontId="3" fillId="0" borderId="0" xfId="0" applyFont="1" applyAlignment="1">
      <alignment wrapText="1"/>
    </xf>
    <xf numFmtId="2" fontId="0" fillId="0" borderId="0" xfId="0" applyNumberFormat="1"/>
    <xf numFmtId="0" fontId="2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/>
    <xf numFmtId="15" fontId="0" fillId="0" borderId="0" xfId="0" applyNumberFormat="1"/>
    <xf numFmtId="0" fontId="2" fillId="2" borderId="0" xfId="0" applyFont="1" applyFill="1" applyAlignment="1">
      <alignment wrapText="1"/>
    </xf>
    <xf numFmtId="164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/>
    <xf numFmtId="0" fontId="10" fillId="0" borderId="0" xfId="0" applyFont="1"/>
    <xf numFmtId="0" fontId="9" fillId="3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ROE Trend (FY2020–FY2024)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'02_RawFS'!$B$27:$F$27</c:f>
              <c:numCache>
                <c:formatCode>0.00%</c:formatCode>
                <c:ptCount val="5"/>
                <c:pt idx="0" formatCode="0%">
                  <c:v>0.13</c:v>
                </c:pt>
                <c:pt idx="1">
                  <c:v>0.186</c:v>
                </c:pt>
                <c:pt idx="2">
                  <c:v>0.20699999999999999</c:v>
                </c:pt>
                <c:pt idx="3">
                  <c:v>0.21199999999999999</c:v>
                </c:pt>
                <c:pt idx="4">
                  <c:v>0.20200000000000001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A3-460C-A2B0-1573DD35B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9888008"/>
        <c:axId val="669894152"/>
      </c:lineChart>
      <c:catAx>
        <c:axId val="669888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94152"/>
        <c:crosses val="autoZero"/>
        <c:auto val="1"/>
        <c:lblAlgn val="ctr"/>
        <c:lblOffset val="100"/>
        <c:noMultiLvlLbl val="0"/>
      </c:catAx>
      <c:valAx>
        <c:axId val="669894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888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Credit Loss Ratio – Through the Cycle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'02_RawFS'!$B$31:$F$31</c:f>
              <c:numCache>
                <c:formatCode>0.00%</c:formatCode>
                <c:ptCount val="5"/>
                <c:pt idx="0">
                  <c:v>1.9699999999999999E-2</c:v>
                </c:pt>
                <c:pt idx="1">
                  <c:v>1.0800000000000001E-2</c:v>
                </c:pt>
                <c:pt idx="2">
                  <c:v>6.1999999999999998E-3</c:v>
                </c:pt>
                <c:pt idx="3">
                  <c:v>6.7000000000000002E-3</c:v>
                </c:pt>
                <c:pt idx="4">
                  <c:v>8.0999999999999996E-3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69-4E85-B583-B417130D8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1911048"/>
        <c:axId val="1661913096"/>
      </c:lineChart>
      <c:catAx>
        <c:axId val="1661911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13096"/>
        <c:crosses val="autoZero"/>
        <c:auto val="1"/>
        <c:lblAlgn val="ctr"/>
        <c:lblOffset val="100"/>
        <c:noMultiLvlLbl val="0"/>
      </c:catAx>
      <c:valAx>
        <c:axId val="1661913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1911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Cost-to-Income Ratio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'02_RawFS'!$B$30:$F$30</c:f>
              <c:numCache>
                <c:formatCode>0%</c:formatCode>
                <c:ptCount val="5"/>
                <c:pt idx="0" formatCode="0.00%">
                  <c:v>0.52800000000000002</c:v>
                </c:pt>
                <c:pt idx="1">
                  <c:v>0.51</c:v>
                </c:pt>
                <c:pt idx="2" formatCode="0.00%">
                  <c:v>0.503</c:v>
                </c:pt>
                <c:pt idx="3">
                  <c:v>0.52</c:v>
                </c:pt>
                <c:pt idx="4" formatCode="0.00%">
                  <c:v>0.52600000000000002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B2-4A79-A064-0086A23ED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11656"/>
        <c:axId val="45213704"/>
      </c:lineChart>
      <c:catAx>
        <c:axId val="45211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3704"/>
        <c:crosses val="autoZero"/>
        <c:auto val="1"/>
        <c:lblAlgn val="ctr"/>
        <c:lblOffset val="100"/>
        <c:noMultiLvlLbl val="0"/>
      </c:catAx>
      <c:valAx>
        <c:axId val="4521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11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Net Interest Margin (NIM)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'02_RawFS'!B26:F26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'02_RawFS'!$B$29:$F$29</c:f>
              <c:numCache>
                <c:formatCode>0.00%</c:formatCode>
                <c:ptCount val="5"/>
                <c:pt idx="0">
                  <c:v>4.02E-2</c:v>
                </c:pt>
                <c:pt idx="1">
                  <c:v>4.0800000000000003E-2</c:v>
                </c:pt>
                <c:pt idx="2">
                  <c:v>4.2099999999999999E-2</c:v>
                </c:pt>
                <c:pt idx="3">
                  <c:v>4.53E-2</c:v>
                </c:pt>
                <c:pt idx="4">
                  <c:v>4.5600000000000002E-2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46-4C20-BA20-8FB7F98AB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4602631"/>
        <c:axId val="2024584199"/>
      </c:lineChart>
      <c:catAx>
        <c:axId val="2024602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584199"/>
        <c:crosses val="autoZero"/>
        <c:auto val="1"/>
        <c:lblAlgn val="ctr"/>
        <c:lblOffset val="100"/>
        <c:noMultiLvlLbl val="0"/>
      </c:catAx>
      <c:valAx>
        <c:axId val="2024584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4602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Loans vs Deposits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'02_RawFS'!B15:F15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'02_RawFS'!$B$18:$F$18</c:f>
              <c:numCache>
                <c:formatCode>General</c:formatCode>
                <c:ptCount val="5"/>
                <c:pt idx="0">
                  <c:v>1088419</c:v>
                </c:pt>
                <c:pt idx="1">
                  <c:v>1105280</c:v>
                </c:pt>
                <c:pt idx="2">
                  <c:v>1178765</c:v>
                </c:pt>
                <c:pt idx="3">
                  <c:v>1300003</c:v>
                </c:pt>
                <c:pt idx="4">
                  <c:v>1374655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B-4F8A-A0D5-560246473D1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'02_RawFS'!B15:F15</c:f>
              <c:strCache>
                <c:ptCount val="5"/>
                <c:pt idx="0">
                  <c:v>FY2020</c:v>
                </c:pt>
                <c:pt idx="1">
                  <c:v>FY2021</c:v>
                </c:pt>
                <c:pt idx="2">
                  <c:v>FY2022</c:v>
                </c:pt>
                <c:pt idx="3">
                  <c:v>FY2023</c:v>
                </c:pt>
                <c:pt idx="4">
                  <c:v>FY2024</c:v>
                </c:pt>
              </c:strCache>
            </c:strRef>
          </c:cat>
          <c:val>
            <c:numRef>
              <c:f>'02_RawFS'!$B$20:$F$20</c:f>
              <c:numCache>
                <c:formatCode>General</c:formatCode>
                <c:ptCount val="5"/>
                <c:pt idx="0">
                  <c:v>1206997</c:v>
                </c:pt>
                <c:pt idx="1">
                  <c:v>1255080</c:v>
                </c:pt>
                <c:pt idx="2">
                  <c:v>1331881</c:v>
                </c:pt>
                <c:pt idx="3">
                  <c:v>1467280</c:v>
                </c:pt>
                <c:pt idx="4">
                  <c:v>1552825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B-4F8A-A0D5-560246473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330184"/>
        <c:axId val="669900296"/>
      </c:lineChart>
      <c:catAx>
        <c:axId val="65330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900296"/>
        <c:crosses val="autoZero"/>
        <c:auto val="1"/>
        <c:lblAlgn val="ctr"/>
        <c:lblOffset val="100"/>
        <c:noMultiLvlLbl val="0"/>
      </c:catAx>
      <c:valAx>
        <c:axId val="669900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30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4</xdr:col>
      <xdr:colOff>495300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335B44-7362-4215-AA3A-702FF121A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3</xdr:row>
      <xdr:rowOff>0</xdr:rowOff>
    </xdr:from>
    <xdr:to>
      <xdr:col>13</xdr:col>
      <xdr:colOff>304800</xdr:colOff>
      <xdr:row>17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B57C9B-C5A2-4922-B2EC-77D4AFFB6E1B}"/>
            </a:ext>
            <a:ext uri="{147F2762-F138-4A5C-976F-8EAC2B608ADB}">
              <a16:predDERef xmlns:a16="http://schemas.microsoft.com/office/drawing/2014/main" pred="{EE335B44-7362-4215-AA3A-702FF121A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19</xdr:row>
      <xdr:rowOff>0</xdr:rowOff>
    </xdr:from>
    <xdr:to>
      <xdr:col>4</xdr:col>
      <xdr:colOff>495300</xdr:colOff>
      <xdr:row>33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87B613C-4644-4CD5-9B2B-208A89F95E49}"/>
            </a:ext>
            <a:ext uri="{147F2762-F138-4A5C-976F-8EAC2B608ADB}">
              <a16:predDERef xmlns:a16="http://schemas.microsoft.com/office/drawing/2014/main" pred="{07B57C9B-C5A2-4922-B2EC-77D4AFFB6E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19</xdr:row>
      <xdr:rowOff>0</xdr:rowOff>
    </xdr:from>
    <xdr:to>
      <xdr:col>13</xdr:col>
      <xdr:colOff>304800</xdr:colOff>
      <xdr:row>33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D28A59F-1B2C-4037-8E59-227F34B3A432}"/>
            </a:ext>
            <a:ext uri="{147F2762-F138-4A5C-976F-8EAC2B608ADB}">
              <a16:predDERef xmlns:a16="http://schemas.microsoft.com/office/drawing/2014/main" pred="{C87B613C-4644-4CD5-9B2B-208A89F95E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571500</xdr:colOff>
      <xdr:row>3</xdr:row>
      <xdr:rowOff>0</xdr:rowOff>
    </xdr:from>
    <xdr:to>
      <xdr:col>21</xdr:col>
      <xdr:colOff>209550</xdr:colOff>
      <xdr:row>17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99DDF45-ECBC-406E-A39A-DE7D3BBEC9B9}"/>
            </a:ext>
            <a:ext uri="{147F2762-F138-4A5C-976F-8EAC2B608ADB}">
              <a16:predDERef xmlns:a16="http://schemas.microsoft.com/office/drawing/2014/main" pred="{1D28A59F-1B2C-4037-8E59-227F34B3A4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D8B36-FA03-4518-BA54-E7C1DD57CB68}">
  <dimension ref="A1:B33"/>
  <sheetViews>
    <sheetView workbookViewId="0">
      <selection activeCell="A34" sqref="A34"/>
    </sheetView>
  </sheetViews>
  <sheetFormatPr defaultRowHeight="15"/>
  <cols>
    <col min="1" max="2" width="36.5703125" bestFit="1" customWidth="1"/>
  </cols>
  <sheetData>
    <row r="1" spans="1:2" ht="43.5">
      <c r="A1" s="9" t="s">
        <v>0</v>
      </c>
    </row>
    <row r="4" spans="1:2">
      <c r="A4" s="2" t="s">
        <v>1</v>
      </c>
    </row>
    <row r="6" spans="1:2" ht="87">
      <c r="A6" s="3" t="s">
        <v>2</v>
      </c>
    </row>
    <row r="9" spans="1:2">
      <c r="A9" s="2" t="s">
        <v>3</v>
      </c>
    </row>
    <row r="11" spans="1:2">
      <c r="A11" s="2" t="s">
        <v>4</v>
      </c>
      <c r="B11" s="9" t="s">
        <v>5</v>
      </c>
    </row>
    <row r="12" spans="1:2">
      <c r="A12" t="s">
        <v>6</v>
      </c>
      <c r="B12" s="3" t="s">
        <v>7</v>
      </c>
    </row>
    <row r="13" spans="1:2" ht="29.25">
      <c r="A13" t="s">
        <v>8</v>
      </c>
      <c r="B13" s="3" t="s">
        <v>9</v>
      </c>
    </row>
    <row r="14" spans="1:2">
      <c r="A14" t="s">
        <v>10</v>
      </c>
      <c r="B14" s="3" t="s">
        <v>11</v>
      </c>
    </row>
    <row r="15" spans="1:2">
      <c r="A15" t="s">
        <v>12</v>
      </c>
      <c r="B15" s="3" t="s">
        <v>13</v>
      </c>
    </row>
    <row r="16" spans="1:2">
      <c r="A16" t="s">
        <v>14</v>
      </c>
      <c r="B16" s="3" t="s">
        <v>15</v>
      </c>
    </row>
    <row r="17" spans="1:2">
      <c r="A17" t="s">
        <v>16</v>
      </c>
      <c r="B17" s="3" t="s">
        <v>17</v>
      </c>
    </row>
    <row r="18" spans="1:2">
      <c r="A18" t="s">
        <v>18</v>
      </c>
      <c r="B18" s="3" t="s">
        <v>19</v>
      </c>
    </row>
    <row r="21" spans="1:2">
      <c r="A21" s="2" t="s">
        <v>20</v>
      </c>
    </row>
    <row r="23" spans="1:2" ht="57.75">
      <c r="A23" s="3" t="s">
        <v>21</v>
      </c>
    </row>
    <row r="26" spans="1:2">
      <c r="A26" s="2" t="s">
        <v>22</v>
      </c>
    </row>
    <row r="28" spans="1:2" ht="144.75">
      <c r="A28" s="3" t="s">
        <v>23</v>
      </c>
    </row>
    <row r="31" spans="1:2">
      <c r="A31" s="2" t="s">
        <v>24</v>
      </c>
    </row>
    <row r="33" spans="1:1" ht="72.75">
      <c r="A33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4"/>
  <sheetViews>
    <sheetView workbookViewId="0">
      <selection activeCell="E1" sqref="E1"/>
    </sheetView>
  </sheetViews>
  <sheetFormatPr defaultRowHeight="15"/>
  <cols>
    <col min="1" max="1" width="36.5703125" bestFit="1" customWidth="1"/>
    <col min="2" max="2" width="10.140625" bestFit="1" customWidth="1"/>
    <col min="4" max="4" width="15.140625" bestFit="1" customWidth="1"/>
    <col min="5" max="5" width="20.28515625" bestFit="1" customWidth="1"/>
    <col min="6" max="6" width="17.5703125" bestFit="1" customWidth="1"/>
    <col min="7" max="7" width="11.140625" bestFit="1" customWidth="1"/>
    <col min="8" max="8" width="17.7109375" bestFit="1" customWidth="1"/>
  </cols>
  <sheetData>
    <row r="1" spans="1:10" ht="43.5">
      <c r="A1" s="7" t="s">
        <v>26</v>
      </c>
      <c r="C1" s="1"/>
      <c r="D1" s="1"/>
    </row>
    <row r="2" spans="1:10" ht="16.5">
      <c r="C2" s="1"/>
      <c r="D2" s="1"/>
      <c r="J2" s="1"/>
    </row>
    <row r="3" spans="1:10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</row>
    <row r="4" spans="1:10" ht="43.5">
      <c r="A4" t="s">
        <v>35</v>
      </c>
      <c r="B4" t="s">
        <v>36</v>
      </c>
      <c r="C4" t="s">
        <v>37</v>
      </c>
      <c r="D4" s="3" t="s">
        <v>38</v>
      </c>
      <c r="E4" t="s">
        <v>39</v>
      </c>
      <c r="F4" t="s">
        <v>40</v>
      </c>
      <c r="G4" t="s">
        <v>41</v>
      </c>
      <c r="H4" t="s">
        <v>42</v>
      </c>
    </row>
    <row r="5" spans="1:10" ht="43.5">
      <c r="A5" t="s">
        <v>43</v>
      </c>
      <c r="B5" t="s">
        <v>36</v>
      </c>
      <c r="C5" t="s">
        <v>37</v>
      </c>
      <c r="D5" s="3" t="s">
        <v>38</v>
      </c>
      <c r="E5" t="s">
        <v>39</v>
      </c>
      <c r="F5" t="s">
        <v>44</v>
      </c>
    </row>
    <row r="6" spans="1:10" ht="43.5">
      <c r="A6" t="s">
        <v>45</v>
      </c>
      <c r="B6" t="s">
        <v>36</v>
      </c>
      <c r="C6" t="s">
        <v>37</v>
      </c>
      <c r="D6" s="3" t="s">
        <v>38</v>
      </c>
      <c r="E6" t="s">
        <v>39</v>
      </c>
      <c r="F6" t="s">
        <v>46</v>
      </c>
    </row>
    <row r="7" spans="1:10" ht="43.5">
      <c r="A7" t="s">
        <v>47</v>
      </c>
      <c r="B7" t="s">
        <v>36</v>
      </c>
      <c r="C7" t="s">
        <v>37</v>
      </c>
      <c r="D7" s="3" t="s">
        <v>38</v>
      </c>
      <c r="E7" t="s">
        <v>39</v>
      </c>
      <c r="F7" t="s">
        <v>48</v>
      </c>
      <c r="H7" t="s">
        <v>49</v>
      </c>
    </row>
    <row r="8" spans="1:10" ht="43.5">
      <c r="A8" t="s">
        <v>50</v>
      </c>
      <c r="B8" t="s">
        <v>36</v>
      </c>
      <c r="C8" t="s">
        <v>37</v>
      </c>
      <c r="D8" s="3" t="s">
        <v>38</v>
      </c>
      <c r="E8" t="s">
        <v>39</v>
      </c>
      <c r="F8" t="s">
        <v>51</v>
      </c>
    </row>
    <row r="9" spans="1:10" ht="43.5">
      <c r="A9" t="s">
        <v>52</v>
      </c>
      <c r="B9" t="s">
        <v>36</v>
      </c>
      <c r="C9" t="s">
        <v>37</v>
      </c>
      <c r="D9" s="3" t="s">
        <v>38</v>
      </c>
      <c r="E9" t="s">
        <v>39</v>
      </c>
      <c r="F9" t="s">
        <v>53</v>
      </c>
    </row>
    <row r="11" spans="1:10" ht="43.5">
      <c r="A11" t="s">
        <v>54</v>
      </c>
      <c r="B11" t="s">
        <v>55</v>
      </c>
      <c r="C11" t="s">
        <v>37</v>
      </c>
      <c r="D11" s="3" t="s">
        <v>38</v>
      </c>
      <c r="E11" t="s">
        <v>39</v>
      </c>
      <c r="F11" t="s">
        <v>56</v>
      </c>
    </row>
    <row r="12" spans="1:10" ht="43.5">
      <c r="A12" t="s">
        <v>57</v>
      </c>
      <c r="B12" t="s">
        <v>55</v>
      </c>
      <c r="C12" t="s">
        <v>37</v>
      </c>
      <c r="D12" s="3" t="s">
        <v>38</v>
      </c>
      <c r="E12" t="s">
        <v>39</v>
      </c>
      <c r="F12" t="s">
        <v>58</v>
      </c>
    </row>
    <row r="13" spans="1:10" ht="43.5">
      <c r="A13" t="s">
        <v>59</v>
      </c>
      <c r="B13" t="s">
        <v>55</v>
      </c>
      <c r="C13" t="s">
        <v>37</v>
      </c>
      <c r="D13" s="3" t="s">
        <v>38</v>
      </c>
      <c r="E13" t="s">
        <v>39</v>
      </c>
      <c r="F13" t="s">
        <v>60</v>
      </c>
    </row>
    <row r="14" spans="1:10" ht="43.5">
      <c r="A14" t="s">
        <v>61</v>
      </c>
      <c r="B14" t="s">
        <v>55</v>
      </c>
      <c r="C14" t="s">
        <v>37</v>
      </c>
      <c r="D14" s="3" t="s">
        <v>38</v>
      </c>
      <c r="E14" t="s">
        <v>39</v>
      </c>
      <c r="F14" t="s">
        <v>62</v>
      </c>
    </row>
    <row r="15" spans="1:10" ht="43.5">
      <c r="A15" t="s">
        <v>63</v>
      </c>
      <c r="B15" t="s">
        <v>55</v>
      </c>
      <c r="C15" t="s">
        <v>37</v>
      </c>
      <c r="D15" s="3" t="s">
        <v>38</v>
      </c>
      <c r="E15" t="s">
        <v>39</v>
      </c>
      <c r="F15" t="s">
        <v>64</v>
      </c>
    </row>
    <row r="16" spans="1:10" ht="43.5">
      <c r="A16" t="s">
        <v>65</v>
      </c>
      <c r="B16" t="s">
        <v>55</v>
      </c>
      <c r="C16" t="s">
        <v>37</v>
      </c>
      <c r="D16" s="3" t="s">
        <v>38</v>
      </c>
      <c r="E16" t="s">
        <v>39</v>
      </c>
      <c r="F16" t="s">
        <v>66</v>
      </c>
    </row>
    <row r="17" spans="1:6" ht="43.5">
      <c r="A17" t="s">
        <v>67</v>
      </c>
      <c r="B17" t="s">
        <v>55</v>
      </c>
      <c r="C17" t="s">
        <v>37</v>
      </c>
      <c r="D17" s="3" t="s">
        <v>38</v>
      </c>
      <c r="E17" t="s">
        <v>39</v>
      </c>
      <c r="F17" t="s">
        <v>68</v>
      </c>
    </row>
    <row r="19" spans="1:6" ht="43.5">
      <c r="A19" t="s">
        <v>69</v>
      </c>
      <c r="B19" t="s">
        <v>70</v>
      </c>
      <c r="C19" t="s">
        <v>37</v>
      </c>
      <c r="D19" s="3" t="s">
        <v>38</v>
      </c>
      <c r="E19" t="s">
        <v>39</v>
      </c>
      <c r="F19" t="s">
        <v>71</v>
      </c>
    </row>
    <row r="20" spans="1:6" ht="43.5">
      <c r="A20" t="s">
        <v>72</v>
      </c>
      <c r="B20" t="s">
        <v>70</v>
      </c>
      <c r="C20" t="s">
        <v>37</v>
      </c>
      <c r="D20" s="3" t="s">
        <v>38</v>
      </c>
      <c r="E20" t="s">
        <v>39</v>
      </c>
      <c r="F20" t="s">
        <v>73</v>
      </c>
    </row>
    <row r="21" spans="1:6" ht="43.5">
      <c r="A21" t="s">
        <v>74</v>
      </c>
      <c r="B21" t="s">
        <v>70</v>
      </c>
      <c r="C21" t="s">
        <v>37</v>
      </c>
      <c r="D21" s="3" t="s">
        <v>38</v>
      </c>
      <c r="E21" t="s">
        <v>39</v>
      </c>
      <c r="F21" t="s">
        <v>75</v>
      </c>
    </row>
    <row r="22" spans="1:6" ht="43.5">
      <c r="A22" t="s">
        <v>76</v>
      </c>
      <c r="B22" t="s">
        <v>70</v>
      </c>
      <c r="C22" t="s">
        <v>37</v>
      </c>
      <c r="D22" s="3" t="s">
        <v>38</v>
      </c>
      <c r="E22" t="s">
        <v>39</v>
      </c>
      <c r="F22" t="s">
        <v>77</v>
      </c>
    </row>
    <row r="23" spans="1:6" ht="43.5">
      <c r="A23" t="s">
        <v>78</v>
      </c>
      <c r="B23" t="s">
        <v>70</v>
      </c>
      <c r="C23" t="s">
        <v>37</v>
      </c>
      <c r="D23" s="3" t="s">
        <v>38</v>
      </c>
      <c r="E23" t="s">
        <v>39</v>
      </c>
      <c r="F23" t="s">
        <v>79</v>
      </c>
    </row>
    <row r="24" spans="1:6" ht="43.5">
      <c r="A24" t="s">
        <v>80</v>
      </c>
      <c r="B24" t="s">
        <v>70</v>
      </c>
      <c r="C24" t="s">
        <v>37</v>
      </c>
      <c r="D24" s="3" t="s">
        <v>38</v>
      </c>
      <c r="E24" t="s">
        <v>39</v>
      </c>
      <c r="F24" t="s">
        <v>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9B35-9647-4648-ABB8-39D68AD13887}">
  <dimension ref="A3:F32"/>
  <sheetViews>
    <sheetView topLeftCell="A4" workbookViewId="0">
      <selection activeCell="B18" sqref="B18"/>
    </sheetView>
  </sheetViews>
  <sheetFormatPr defaultRowHeight="15"/>
  <cols>
    <col min="1" max="1" width="18.85546875" bestFit="1" customWidth="1"/>
  </cols>
  <sheetData>
    <row r="3" spans="1:6">
      <c r="A3" s="2" t="s">
        <v>82</v>
      </c>
    </row>
    <row r="5" spans="1:6">
      <c r="A5" s="2" t="s">
        <v>83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37</v>
      </c>
    </row>
    <row r="6" spans="1:6">
      <c r="A6" t="s">
        <v>88</v>
      </c>
      <c r="B6">
        <v>62915</v>
      </c>
      <c r="C6">
        <v>66717</v>
      </c>
      <c r="D6">
        <v>69704</v>
      </c>
      <c r="E6">
        <v>78932</v>
      </c>
      <c r="F6">
        <v>83454</v>
      </c>
    </row>
    <row r="7" spans="1:6">
      <c r="A7" t="s">
        <v>43</v>
      </c>
      <c r="B7">
        <v>41691</v>
      </c>
      <c r="C7">
        <v>45410</v>
      </c>
      <c r="D7">
        <v>49870</v>
      </c>
      <c r="E7">
        <v>53476</v>
      </c>
      <c r="F7">
        <v>56082</v>
      </c>
    </row>
    <row r="8" spans="1:6">
      <c r="A8" t="s">
        <v>45</v>
      </c>
      <c r="B8">
        <v>55276</v>
      </c>
      <c r="C8">
        <v>57215</v>
      </c>
      <c r="D8">
        <v>60456</v>
      </c>
      <c r="E8">
        <v>68600</v>
      </c>
      <c r="F8">
        <v>74731</v>
      </c>
    </row>
    <row r="9" spans="1:6">
      <c r="A9" t="s">
        <v>89</v>
      </c>
      <c r="B9">
        <v>24383</v>
      </c>
      <c r="C9">
        <v>11748</v>
      </c>
      <c r="D9">
        <v>7064</v>
      </c>
      <c r="E9">
        <v>8346</v>
      </c>
      <c r="F9">
        <v>12555</v>
      </c>
    </row>
    <row r="10" spans="1:6">
      <c r="A10" t="s">
        <v>50</v>
      </c>
      <c r="B10">
        <v>17326</v>
      </c>
      <c r="C10">
        <v>27971</v>
      </c>
      <c r="D10">
        <v>36680</v>
      </c>
      <c r="E10">
        <v>40960</v>
      </c>
      <c r="F10">
        <v>38054</v>
      </c>
    </row>
    <row r="11" spans="1:6">
      <c r="A11" t="s">
        <v>90</v>
      </c>
      <c r="B11">
        <v>8780</v>
      </c>
      <c r="C11">
        <v>13922</v>
      </c>
      <c r="D11">
        <v>21018</v>
      </c>
      <c r="E11">
        <v>23848</v>
      </c>
      <c r="F11">
        <v>22368</v>
      </c>
    </row>
    <row r="13" spans="1:6">
      <c r="A13" s="2" t="s">
        <v>91</v>
      </c>
    </row>
    <row r="15" spans="1:6">
      <c r="A15" s="2" t="s">
        <v>83</v>
      </c>
      <c r="B15" s="2" t="s">
        <v>84</v>
      </c>
      <c r="C15" s="2" t="s">
        <v>85</v>
      </c>
      <c r="D15" s="2" t="s">
        <v>86</v>
      </c>
      <c r="E15" s="2" t="s">
        <v>87</v>
      </c>
      <c r="F15" s="2" t="s">
        <v>37</v>
      </c>
    </row>
    <row r="16" spans="1:6">
      <c r="A16" t="s">
        <v>54</v>
      </c>
      <c r="B16">
        <v>1558854</v>
      </c>
      <c r="C16">
        <v>1604206</v>
      </c>
      <c r="D16">
        <v>1713409</v>
      </c>
      <c r="E16">
        <v>1909152</v>
      </c>
      <c r="F16">
        <v>2006799</v>
      </c>
    </row>
    <row r="17" spans="1:6">
      <c r="A17" t="s">
        <v>92</v>
      </c>
      <c r="B17">
        <v>1562832</v>
      </c>
      <c r="C17">
        <v>1576530</v>
      </c>
      <c r="D17">
        <v>1650008</v>
      </c>
      <c r="E17">
        <v>1811280</v>
      </c>
      <c r="F17">
        <v>1957975</v>
      </c>
    </row>
    <row r="18" spans="1:6">
      <c r="A18" t="s">
        <v>93</v>
      </c>
      <c r="B18">
        <v>1088419</v>
      </c>
      <c r="C18">
        <v>1105280</v>
      </c>
      <c r="D18">
        <v>1178765</v>
      </c>
      <c r="E18">
        <v>1300003</v>
      </c>
      <c r="F18">
        <v>1374655</v>
      </c>
    </row>
    <row r="19" spans="1:6">
      <c r="A19" t="s">
        <v>61</v>
      </c>
      <c r="B19">
        <v>1071700</v>
      </c>
      <c r="C19">
        <v>1094449</v>
      </c>
      <c r="D19">
        <v>1146213</v>
      </c>
      <c r="E19">
        <v>1253504</v>
      </c>
      <c r="F19">
        <v>1339326</v>
      </c>
    </row>
    <row r="20" spans="1:6">
      <c r="A20" t="s">
        <v>63</v>
      </c>
      <c r="B20">
        <v>1206997</v>
      </c>
      <c r="C20">
        <v>1255080</v>
      </c>
      <c r="D20">
        <v>1331881</v>
      </c>
      <c r="E20">
        <v>1467280</v>
      </c>
      <c r="F20">
        <v>1552825</v>
      </c>
    </row>
    <row r="21" spans="1:6">
      <c r="A21" t="s">
        <v>94</v>
      </c>
      <c r="B21">
        <v>137529</v>
      </c>
      <c r="C21">
        <v>151494</v>
      </c>
      <c r="D21">
        <v>168201</v>
      </c>
      <c r="E21">
        <v>190519</v>
      </c>
      <c r="F21">
        <v>195272</v>
      </c>
    </row>
    <row r="22" spans="1:6">
      <c r="A22" t="s">
        <v>67</v>
      </c>
      <c r="B22">
        <v>113916</v>
      </c>
      <c r="C22">
        <v>123386</v>
      </c>
      <c r="D22">
        <v>134447</v>
      </c>
      <c r="E22">
        <v>149605</v>
      </c>
      <c r="F22">
        <v>154487</v>
      </c>
    </row>
    <row r="24" spans="1:6">
      <c r="A24" s="2" t="s">
        <v>95</v>
      </c>
    </row>
    <row r="26" spans="1:6">
      <c r="A26" s="2" t="s">
        <v>96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37</v>
      </c>
    </row>
    <row r="27" spans="1:6">
      <c r="A27" t="s">
        <v>69</v>
      </c>
      <c r="B27" s="4">
        <v>0.13</v>
      </c>
      <c r="C27" s="5">
        <v>0.186</v>
      </c>
      <c r="D27" s="5">
        <v>0.20699999999999999</v>
      </c>
      <c r="E27" s="5">
        <v>0.21199999999999999</v>
      </c>
      <c r="F27" s="5">
        <v>0.20200000000000001</v>
      </c>
    </row>
    <row r="28" spans="1:6">
      <c r="A28" t="s">
        <v>72</v>
      </c>
      <c r="B28" s="5">
        <v>1.11E-2</v>
      </c>
      <c r="C28" s="5">
        <v>1.77E-2</v>
      </c>
      <c r="D28" s="5">
        <v>2.2200000000000001E-2</v>
      </c>
      <c r="E28" s="5">
        <v>2.29E-2</v>
      </c>
      <c r="F28" s="5">
        <v>1.9400000000000001E-2</v>
      </c>
    </row>
    <row r="29" spans="1:6">
      <c r="A29" t="s">
        <v>97</v>
      </c>
      <c r="B29" s="5">
        <v>4.02E-2</v>
      </c>
      <c r="C29" s="5">
        <v>4.0800000000000003E-2</v>
      </c>
      <c r="D29" s="5">
        <v>4.2099999999999999E-2</v>
      </c>
      <c r="E29" s="5">
        <v>4.53E-2</v>
      </c>
      <c r="F29" s="5">
        <v>4.5600000000000002E-2</v>
      </c>
    </row>
    <row r="30" spans="1:6">
      <c r="A30" t="s">
        <v>98</v>
      </c>
      <c r="B30" s="5">
        <v>0.52800000000000002</v>
      </c>
      <c r="C30" s="4">
        <v>0.51</v>
      </c>
      <c r="D30" s="5">
        <v>0.503</v>
      </c>
      <c r="E30" s="4">
        <v>0.52</v>
      </c>
      <c r="F30" s="5">
        <v>0.52600000000000002</v>
      </c>
    </row>
    <row r="31" spans="1:6">
      <c r="A31" t="s">
        <v>99</v>
      </c>
      <c r="B31" s="5">
        <v>1.9699999999999999E-2</v>
      </c>
      <c r="C31" s="5">
        <v>1.0800000000000001E-2</v>
      </c>
      <c r="D31" s="5">
        <v>6.1999999999999998E-3</v>
      </c>
      <c r="E31" s="5">
        <v>6.7000000000000002E-3</v>
      </c>
      <c r="F31" s="5">
        <v>8.0999999999999996E-3</v>
      </c>
    </row>
    <row r="32" spans="1:6">
      <c r="A32" t="s">
        <v>80</v>
      </c>
      <c r="B32" s="5">
        <v>0.13400000000000001</v>
      </c>
      <c r="C32" s="5">
        <v>0.13700000000000001</v>
      </c>
      <c r="D32" s="5">
        <v>0.13500000000000001</v>
      </c>
      <c r="E32" s="5">
        <v>0.14599999999999999</v>
      </c>
      <c r="F32" s="5">
        <v>0.14199999999999999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BEB18-5F7B-43BC-9FB3-5904361A2B4A}">
  <dimension ref="A3:F18"/>
  <sheetViews>
    <sheetView workbookViewId="0">
      <selection activeCell="F12" sqref="F12"/>
    </sheetView>
  </sheetViews>
  <sheetFormatPr defaultRowHeight="15"/>
  <cols>
    <col min="1" max="1" width="21.42578125" bestFit="1" customWidth="1"/>
  </cols>
  <sheetData>
    <row r="3" spans="1:6">
      <c r="A3" s="2" t="s">
        <v>100</v>
      </c>
    </row>
    <row r="5" spans="1:6">
      <c r="A5" s="2" t="s">
        <v>101</v>
      </c>
      <c r="B5" s="2" t="s">
        <v>84</v>
      </c>
      <c r="C5" s="2" t="s">
        <v>85</v>
      </c>
      <c r="D5" s="2" t="s">
        <v>86</v>
      </c>
      <c r="E5" s="2" t="s">
        <v>87</v>
      </c>
      <c r="F5" s="2" t="s">
        <v>37</v>
      </c>
    </row>
    <row r="6" spans="1:6">
      <c r="A6" t="s">
        <v>102</v>
      </c>
      <c r="B6">
        <f>'02_RawFS'!B6 + '02_RawFS'!B7</f>
        <v>104606</v>
      </c>
      <c r="C6">
        <f>'02_RawFS'!C6 + '02_RawFS'!C7</f>
        <v>112127</v>
      </c>
      <c r="D6">
        <f>'02_RawFS'!D6 + '02_RawFS'!D7</f>
        <v>119574</v>
      </c>
      <c r="E6">
        <f>'02_RawFS'!E6 + '02_RawFS'!E7</f>
        <v>132408</v>
      </c>
      <c r="F6">
        <f>'02_RawFS'!F6 + '02_RawFS'!F7</f>
        <v>139536</v>
      </c>
    </row>
    <row r="7" spans="1:6">
      <c r="A7" t="s">
        <v>103</v>
      </c>
      <c r="B7" s="5">
        <f>'02_RawFS'!B8 / ('02_RawFS'!B6 + '02_RawFS'!B7)</f>
        <v>0.52842093187771255</v>
      </c>
      <c r="C7" s="5">
        <f>'02_RawFS'!C8 / ('02_RawFS'!C6 + '02_RawFS'!C7)</f>
        <v>0.51026960500147156</v>
      </c>
      <c r="D7" s="5">
        <f>'02_RawFS'!D8 / ('02_RawFS'!D6 + '02_RawFS'!D7)</f>
        <v>0.50559486175924528</v>
      </c>
      <c r="E7" s="5">
        <f>'02_RawFS'!E8 / ('02_RawFS'!E6 + '02_RawFS'!E7)</f>
        <v>0.51809558334843819</v>
      </c>
      <c r="F7" s="5">
        <f>'02_RawFS'!F8 / ('02_RawFS'!F6 + '02_RawFS'!F7)</f>
        <v>0.53556788212360973</v>
      </c>
    </row>
    <row r="8" spans="1:6">
      <c r="A8" t="s">
        <v>104</v>
      </c>
      <c r="B8" s="5">
        <f>'02_RawFS'!B9 / '02_RawFS'!B19</f>
        <v>2.2751702901931511E-2</v>
      </c>
      <c r="C8" s="5">
        <f>'02_RawFS'!C9 / '02_RawFS'!C19</f>
        <v>1.0734168517674191E-2</v>
      </c>
      <c r="D8" s="5">
        <f>'02_RawFS'!D9 / '02_RawFS'!D19</f>
        <v>6.162903404515566E-3</v>
      </c>
      <c r="E8" s="5">
        <f>'02_RawFS'!E9 / '02_RawFS'!E19</f>
        <v>6.6581359134075362E-3</v>
      </c>
      <c r="F8" s="5">
        <f>'02_RawFS'!F9 / '02_RawFS'!F19</f>
        <v>9.3741180265297618E-3</v>
      </c>
    </row>
    <row r="9" spans="1:6">
      <c r="A9" t="s">
        <v>105</v>
      </c>
      <c r="C9" s="5">
        <f>('02_RawFS'!C18 / '02_RawFS'!B18) - 1</f>
        <v>1.5491276796895326E-2</v>
      </c>
      <c r="D9" s="5">
        <f>('02_RawFS'!D18 / '02_RawFS'!C18) - 1</f>
        <v>6.6485415460335817E-2</v>
      </c>
      <c r="E9" s="5">
        <f>('02_RawFS'!E18 / '02_RawFS'!D18) - 1</f>
        <v>0.1028517134458522</v>
      </c>
      <c r="F9" s="5">
        <f>('02_RawFS'!F18 / '02_RawFS'!E18) - 1</f>
        <v>5.7424482866577975E-2</v>
      </c>
    </row>
    <row r="10" spans="1:6">
      <c r="A10" t="s">
        <v>106</v>
      </c>
      <c r="C10" s="5">
        <f>('02_RawFS'!C20 / '02_RawFS'!B20) - 1</f>
        <v>3.9836884433018582E-2</v>
      </c>
      <c r="D10" s="5">
        <f>('02_RawFS'!D20 / '02_RawFS'!C20) - 1</f>
        <v>6.1192115243649869E-2</v>
      </c>
      <c r="E10" s="5">
        <f>('02_RawFS'!E20 / '02_RawFS'!D20) - 1</f>
        <v>0.1016599831366316</v>
      </c>
      <c r="F10" s="5">
        <f>('02_RawFS'!F20 / '02_RawFS'!E20) - 1</f>
        <v>5.8301755629464047E-2</v>
      </c>
    </row>
    <row r="11" spans="1:6">
      <c r="A11" t="s">
        <v>107</v>
      </c>
      <c r="C11" s="5">
        <f>('02_RawFS'!C10 / '02_RawFS'!B10) - 1</f>
        <v>0.6143945515410365</v>
      </c>
      <c r="D11" s="5">
        <f>('02_RawFS'!D10 / '02_RawFS'!C10) - 1</f>
        <v>0.3113581924135711</v>
      </c>
      <c r="E11" s="5">
        <f>('02_RawFS'!E10 / '02_RawFS'!D10) - 1</f>
        <v>0.11668484187568162</v>
      </c>
      <c r="F11" s="5">
        <f>('02_RawFS'!F10 / '02_RawFS'!E10) - 1</f>
        <v>-7.0947265624999978E-2</v>
      </c>
    </row>
    <row r="12" spans="1:6">
      <c r="A12" t="s">
        <v>108</v>
      </c>
      <c r="F12" s="5">
        <f>(('02_RawFS'!F10 / '02_RawFS'!B10)^(1/4)) - 1</f>
        <v>0.21737814538252365</v>
      </c>
    </row>
    <row r="13" spans="1:6">
      <c r="A13" t="s">
        <v>109</v>
      </c>
      <c r="F13" s="5">
        <f>(('02_RawFS'!F18/'02_RawFS'!B18)^(1/4))-1</f>
        <v>6.0106263292067919E-2</v>
      </c>
    </row>
    <row r="14" spans="1:6">
      <c r="A14" t="s">
        <v>110</v>
      </c>
      <c r="F14" s="5">
        <f>(('02_RawFS'!F20/'02_RawFS'!B20)^(1/4))-1</f>
        <v>6.501096940604012E-2</v>
      </c>
    </row>
    <row r="16" spans="1:6">
      <c r="A16" s="2" t="s">
        <v>111</v>
      </c>
    </row>
    <row r="17" spans="1:6">
      <c r="A17" t="s">
        <v>112</v>
      </c>
      <c r="F17" s="4">
        <f>AVERAGE('02_RawFS'!B27:F27)</f>
        <v>0.18740000000000001</v>
      </c>
    </row>
    <row r="18" spans="1:6">
      <c r="A18" t="s">
        <v>113</v>
      </c>
      <c r="F18" s="5">
        <f>_xlfn.STDEV.P('02_RawFS'!B27:F27)</f>
        <v>2.9997333214804252E-2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5CA49-75B4-409B-A496-42C2E26E4015}">
  <dimension ref="A1:R25"/>
  <sheetViews>
    <sheetView topLeftCell="D1" workbookViewId="0">
      <selection activeCell="X19" sqref="X19"/>
    </sheetView>
  </sheetViews>
  <sheetFormatPr defaultRowHeight="15"/>
  <cols>
    <col min="1" max="1" width="33.7109375" bestFit="1" customWidth="1"/>
    <col min="17" max="18" width="15" bestFit="1" customWidth="1"/>
  </cols>
  <sheetData>
    <row r="1" spans="1:1">
      <c r="A1" s="2" t="s">
        <v>114</v>
      </c>
    </row>
    <row r="20" spans="16:18">
      <c r="P20" s="2"/>
      <c r="Q20" s="2"/>
      <c r="R20" s="2"/>
    </row>
    <row r="21" spans="16:18">
      <c r="Q21" s="6"/>
      <c r="R21" s="6"/>
    </row>
    <row r="22" spans="16:18">
      <c r="Q22" s="6"/>
      <c r="R22" s="6"/>
    </row>
    <row r="23" spans="16:18">
      <c r="Q23" s="6"/>
      <c r="R23" s="6"/>
    </row>
    <row r="24" spans="16:18">
      <c r="Q24" s="6"/>
      <c r="R24" s="6"/>
    </row>
    <row r="25" spans="16:18">
      <c r="Q25" s="6"/>
      <c r="R25" s="6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4DBF1-4819-4CD7-AEFC-F39CA51BFB7F}">
  <dimension ref="A3:F8"/>
  <sheetViews>
    <sheetView workbookViewId="0">
      <selection activeCell="I10" sqref="I10"/>
    </sheetView>
  </sheetViews>
  <sheetFormatPr defaultRowHeight="15"/>
  <cols>
    <col min="1" max="1" width="30.85546875" bestFit="1" customWidth="1"/>
  </cols>
  <sheetData>
    <row r="3" spans="1:6">
      <c r="A3" s="2" t="s">
        <v>115</v>
      </c>
      <c r="B3" s="2" t="s">
        <v>84</v>
      </c>
      <c r="C3" s="2" t="s">
        <v>85</v>
      </c>
      <c r="D3" s="2" t="s">
        <v>86</v>
      </c>
      <c r="E3" s="2" t="s">
        <v>87</v>
      </c>
      <c r="F3" s="2" t="s">
        <v>116</v>
      </c>
    </row>
    <row r="4" spans="1:6">
      <c r="A4" t="s">
        <v>117</v>
      </c>
      <c r="B4" s="5">
        <f>'02_RawFS'!B28</f>
        <v>1.11E-2</v>
      </c>
      <c r="C4" s="5">
        <f>'02_RawFS'!C28</f>
        <v>1.77E-2</v>
      </c>
      <c r="D4" s="5">
        <f>'02_RawFS'!D28</f>
        <v>2.2200000000000001E-2</v>
      </c>
      <c r="E4" s="5">
        <f>'02_RawFS'!E28</f>
        <v>2.29E-2</v>
      </c>
      <c r="F4" s="5">
        <f>'02_RawFS'!F28</f>
        <v>1.9400000000000001E-2</v>
      </c>
    </row>
    <row r="5" spans="1:6">
      <c r="A5" t="s">
        <v>118</v>
      </c>
      <c r="B5" s="8">
        <f>'02_RawFS'!B16 / '02_RawFS'!B21</f>
        <v>11.334729402526012</v>
      </c>
      <c r="C5" s="8">
        <f>'02_RawFS'!C16 / '02_RawFS'!C21</f>
        <v>10.589237857604921</v>
      </c>
      <c r="D5" s="8">
        <f>'02_RawFS'!D16 / '02_RawFS'!D21</f>
        <v>10.186675465663106</v>
      </c>
      <c r="E5" s="8">
        <f>'02_RawFS'!E16 / '02_RawFS'!E21</f>
        <v>10.020795826138075</v>
      </c>
      <c r="F5" s="8">
        <f>'02_RawFS'!F16 / '02_RawFS'!F21</f>
        <v>10.276941906673768</v>
      </c>
    </row>
    <row r="6" spans="1:6">
      <c r="A6" t="s">
        <v>119</v>
      </c>
      <c r="B6" s="5">
        <f>B4*B5</f>
        <v>0.12581549636803874</v>
      </c>
      <c r="C6" s="5">
        <f t="shared" ref="C6:F6" si="0">C4*C5</f>
        <v>0.18742951007960712</v>
      </c>
      <c r="D6" s="5">
        <f t="shared" si="0"/>
        <v>0.22614419533772095</v>
      </c>
      <c r="E6" s="5">
        <f t="shared" si="0"/>
        <v>0.22947622441856191</v>
      </c>
      <c r="F6" s="5">
        <f t="shared" si="0"/>
        <v>0.19937267298947112</v>
      </c>
    </row>
    <row r="7" spans="1:6">
      <c r="A7" t="s">
        <v>120</v>
      </c>
      <c r="B7" s="4">
        <f>'02_RawFS'!B27</f>
        <v>0.13</v>
      </c>
      <c r="C7" s="4">
        <f>'02_RawFS'!C27</f>
        <v>0.186</v>
      </c>
      <c r="D7" s="4">
        <f>'02_RawFS'!D27</f>
        <v>0.20699999999999999</v>
      </c>
      <c r="E7" s="4">
        <f>'02_RawFS'!E27</f>
        <v>0.21199999999999999</v>
      </c>
      <c r="F7" s="4">
        <f>'02_RawFS'!F27</f>
        <v>0.20200000000000001</v>
      </c>
    </row>
    <row r="8" spans="1:6">
      <c r="A8" t="s">
        <v>121</v>
      </c>
      <c r="B8" s="5">
        <f>B6-B7</f>
        <v>-4.1845036319612672E-3</v>
      </c>
      <c r="C8" s="5">
        <f t="shared" ref="C8:F8" si="1">C6-C7</f>
        <v>1.4295100796071214E-3</v>
      </c>
      <c r="D8" s="5">
        <f t="shared" si="1"/>
        <v>1.9144195337720965E-2</v>
      </c>
      <c r="E8" s="5">
        <f t="shared" si="1"/>
        <v>1.747622441856192E-2</v>
      </c>
      <c r="F8" s="5">
        <f t="shared" si="1"/>
        <v>-2.6273270105288959E-3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704A0-1A62-43FF-9C3D-325FDFEF30AB}">
  <dimension ref="A1:B31"/>
  <sheetViews>
    <sheetView workbookViewId="0">
      <selection activeCell="B27" sqref="B27"/>
    </sheetView>
  </sheetViews>
  <sheetFormatPr defaultRowHeight="15"/>
  <cols>
    <col min="1" max="1" width="36.5703125" bestFit="1" customWidth="1"/>
    <col min="2" max="2" width="15.42578125" bestFit="1" customWidth="1"/>
  </cols>
  <sheetData>
    <row r="1" spans="1:2" ht="29.25">
      <c r="A1" s="9" t="s">
        <v>122</v>
      </c>
    </row>
    <row r="4" spans="1:2">
      <c r="A4" s="2" t="s">
        <v>123</v>
      </c>
    </row>
    <row r="6" spans="1:2">
      <c r="A6" s="2" t="s">
        <v>27</v>
      </c>
      <c r="B6" s="2" t="s">
        <v>124</v>
      </c>
    </row>
    <row r="7" spans="1:2">
      <c r="A7" t="s">
        <v>125</v>
      </c>
      <c r="B7" s="4">
        <f>'03_KPI_Cal'!F17</f>
        <v>0.18740000000000001</v>
      </c>
    </row>
    <row r="8" spans="1:2">
      <c r="A8" t="s">
        <v>126</v>
      </c>
      <c r="B8" s="5">
        <f>'03_KPI_Cal'!F18</f>
        <v>2.9997333214804252E-2</v>
      </c>
    </row>
    <row r="9" spans="1:2">
      <c r="A9" t="s">
        <v>127</v>
      </c>
      <c r="B9" s="5">
        <f>'03_KPI_Cal'!F12</f>
        <v>0.21737814538252365</v>
      </c>
    </row>
    <row r="12" spans="1:2">
      <c r="A12" s="2" t="s">
        <v>128</v>
      </c>
    </row>
    <row r="14" spans="1:2">
      <c r="A14" s="2" t="s">
        <v>27</v>
      </c>
      <c r="B14" s="2" t="s">
        <v>124</v>
      </c>
    </row>
    <row r="15" spans="1:2">
      <c r="A15" t="s">
        <v>109</v>
      </c>
      <c r="B15" s="5">
        <f>'03_KPI_Cal'!F13</f>
        <v>6.0106263292067919E-2</v>
      </c>
    </row>
    <row r="16" spans="1:2">
      <c r="A16" t="s">
        <v>110</v>
      </c>
      <c r="B16" s="5">
        <f>'03_KPI_Cal'!F14</f>
        <v>6.501096940604012E-2</v>
      </c>
    </row>
    <row r="17" spans="1:2">
      <c r="A17" t="s">
        <v>129</v>
      </c>
      <c r="B17" t="s">
        <v>130</v>
      </c>
    </row>
    <row r="20" spans="1:2">
      <c r="A20" s="2" t="s">
        <v>131</v>
      </c>
    </row>
    <row r="22" spans="1:2">
      <c r="A22" s="2" t="s">
        <v>27</v>
      </c>
      <c r="B22" s="2" t="s">
        <v>124</v>
      </c>
    </row>
    <row r="23" spans="1:2">
      <c r="A23" t="s">
        <v>132</v>
      </c>
      <c r="B23" s="5">
        <f>'02_RawFS'!F32</f>
        <v>0.14199999999999999</v>
      </c>
    </row>
    <row r="24" spans="1:2">
      <c r="A24" t="s">
        <v>133</v>
      </c>
      <c r="B24" s="5">
        <f>'02_RawFS'!F31</f>
        <v>8.0999999999999996E-3</v>
      </c>
    </row>
    <row r="25" spans="1:2">
      <c r="A25" t="s">
        <v>134</v>
      </c>
      <c r="B25" s="5">
        <f>'02_RawFS'!F30</f>
        <v>0.52600000000000002</v>
      </c>
    </row>
    <row r="26" spans="1:2">
      <c r="A26" t="s">
        <v>135</v>
      </c>
      <c r="B26" s="5">
        <f>'02_RawFS'!F29</f>
        <v>4.5600000000000002E-2</v>
      </c>
    </row>
    <row r="29" spans="1:2">
      <c r="A29" s="2" t="s">
        <v>136</v>
      </c>
    </row>
    <row r="31" spans="1:2" ht="101.25">
      <c r="A31" s="3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A824F-5571-42FC-8869-F833F3FF0B7A}">
  <dimension ref="A1:A40"/>
  <sheetViews>
    <sheetView topLeftCell="A31" workbookViewId="0">
      <selection activeCell="A38" sqref="A38"/>
    </sheetView>
  </sheetViews>
  <sheetFormatPr defaultRowHeight="15"/>
  <cols>
    <col min="1" max="1" width="116.5703125" customWidth="1"/>
  </cols>
  <sheetData>
    <row r="1" spans="1:1" ht="51">
      <c r="A1" s="11" t="s">
        <v>138</v>
      </c>
    </row>
    <row r="5" spans="1:1" ht="15.75">
      <c r="A5" s="12" t="s">
        <v>139</v>
      </c>
    </row>
    <row r="7" spans="1:1" ht="87">
      <c r="A7" s="3" t="s">
        <v>140</v>
      </c>
    </row>
    <row r="10" spans="1:1" ht="15.75">
      <c r="A10" s="12" t="s">
        <v>141</v>
      </c>
    </row>
    <row r="12" spans="1:1" ht="144.75">
      <c r="A12" s="3" t="s">
        <v>142</v>
      </c>
    </row>
    <row r="15" spans="1:1" ht="15.75">
      <c r="A15" s="12" t="s">
        <v>143</v>
      </c>
    </row>
    <row r="17" spans="1:1" ht="409.6">
      <c r="A17" s="10" t="s">
        <v>144</v>
      </c>
    </row>
    <row r="20" spans="1:1" ht="15.75">
      <c r="A20" s="12" t="s">
        <v>145</v>
      </c>
    </row>
    <row r="22" spans="1:1" ht="88.5">
      <c r="A22" s="3" t="s">
        <v>146</v>
      </c>
    </row>
    <row r="24" spans="1:1" ht="59.25">
      <c r="A24" s="3" t="s">
        <v>147</v>
      </c>
    </row>
    <row r="26" spans="1:1" ht="74.25">
      <c r="A26" s="3" t="s">
        <v>148</v>
      </c>
    </row>
    <row r="28" spans="1:1" ht="88.5">
      <c r="A28" s="3" t="s">
        <v>149</v>
      </c>
    </row>
    <row r="30" spans="1:1" ht="59.25">
      <c r="A30" s="3" t="s">
        <v>150</v>
      </c>
    </row>
    <row r="33" spans="1:1" ht="15.75">
      <c r="A33" s="12" t="s">
        <v>151</v>
      </c>
    </row>
    <row r="35" spans="1:1" ht="115.5">
      <c r="A35" s="3" t="s">
        <v>152</v>
      </c>
    </row>
    <row r="38" spans="1:1" ht="15.75">
      <c r="A38" s="12" t="s">
        <v>24</v>
      </c>
    </row>
    <row r="40" spans="1:1" ht="57.75">
      <c r="A40" s="3" t="s">
        <v>153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B3039-E8DE-4817-B6EF-C0C0143F8F30}">
  <dimension ref="A3:G68"/>
  <sheetViews>
    <sheetView topLeftCell="A58" workbookViewId="0">
      <selection activeCell="B68" sqref="B68:D68"/>
    </sheetView>
  </sheetViews>
  <sheetFormatPr defaultRowHeight="15"/>
  <cols>
    <col min="1" max="1" width="36.5703125" bestFit="1" customWidth="1"/>
    <col min="2" max="2" width="26.28515625" bestFit="1" customWidth="1"/>
    <col min="3" max="3" width="12.28515625" bestFit="1" customWidth="1"/>
    <col min="4" max="4" width="14.28515625" bestFit="1" customWidth="1"/>
    <col min="5" max="5" width="20.42578125" bestFit="1" customWidth="1"/>
  </cols>
  <sheetData>
    <row r="3" spans="1:5" ht="29.25">
      <c r="A3" s="9" t="s">
        <v>154</v>
      </c>
      <c r="B3" s="2"/>
      <c r="C3" s="2"/>
      <c r="D3" s="2"/>
    </row>
    <row r="4" spans="1:5">
      <c r="A4" t="s">
        <v>155</v>
      </c>
      <c r="B4" s="13">
        <v>46067</v>
      </c>
    </row>
    <row r="5" spans="1:5">
      <c r="A5" t="s">
        <v>156</v>
      </c>
      <c r="B5" t="s">
        <v>157</v>
      </c>
    </row>
    <row r="7" spans="1:5">
      <c r="A7" s="2" t="s">
        <v>158</v>
      </c>
      <c r="B7" s="2" t="s">
        <v>159</v>
      </c>
      <c r="C7" s="2" t="s">
        <v>160</v>
      </c>
      <c r="D7" s="2" t="s">
        <v>161</v>
      </c>
      <c r="E7" s="2" t="s">
        <v>162</v>
      </c>
    </row>
    <row r="8" spans="1:5">
      <c r="A8" t="s">
        <v>163</v>
      </c>
      <c r="B8" s="6">
        <v>95</v>
      </c>
      <c r="C8" s="6">
        <v>95</v>
      </c>
      <c r="D8" s="6">
        <v>95</v>
      </c>
      <c r="E8" t="s">
        <v>164</v>
      </c>
    </row>
    <row r="9" spans="1:5">
      <c r="A9" t="s">
        <v>165</v>
      </c>
      <c r="B9" s="6">
        <v>38.840000000000003</v>
      </c>
      <c r="C9" s="6">
        <v>38.840000000000003</v>
      </c>
      <c r="D9" s="6">
        <v>38.840000000000003</v>
      </c>
      <c r="E9" t="s">
        <v>166</v>
      </c>
    </row>
    <row r="10" spans="1:5">
      <c r="A10" t="s">
        <v>167</v>
      </c>
      <c r="B10">
        <v>4.66</v>
      </c>
      <c r="C10">
        <v>4.66</v>
      </c>
      <c r="D10">
        <v>4.66</v>
      </c>
      <c r="E10" t="s">
        <v>168</v>
      </c>
    </row>
    <row r="11" spans="1:5">
      <c r="A11" t="s">
        <v>169</v>
      </c>
      <c r="B11" s="8">
        <f>B8/B9</f>
        <v>2.4459320288362512</v>
      </c>
      <c r="C11" s="8">
        <f>C8/C9</f>
        <v>2.4459320288362512</v>
      </c>
      <c r="D11" s="8">
        <f>D8/D9</f>
        <v>2.4459320288362512</v>
      </c>
      <c r="E11" t="s">
        <v>170</v>
      </c>
    </row>
    <row r="13" spans="1:5">
      <c r="A13" s="2" t="s">
        <v>171</v>
      </c>
      <c r="B13" s="2" t="s">
        <v>159</v>
      </c>
      <c r="C13" s="2" t="s">
        <v>160</v>
      </c>
      <c r="D13" s="2" t="s">
        <v>161</v>
      </c>
      <c r="E13" s="2" t="s">
        <v>162</v>
      </c>
    </row>
    <row r="14" spans="1:5">
      <c r="A14" t="s">
        <v>172</v>
      </c>
      <c r="B14" s="5">
        <v>7.9649999999999999E-2</v>
      </c>
      <c r="C14" s="5">
        <v>7.4999999999999997E-2</v>
      </c>
      <c r="D14" s="5">
        <v>8.5000000000000006E-2</v>
      </c>
    </row>
    <row r="15" spans="1:5">
      <c r="A15" t="s">
        <v>173</v>
      </c>
      <c r="B15" s="5">
        <v>5.5E-2</v>
      </c>
      <c r="C15" s="4">
        <v>0.05</v>
      </c>
      <c r="D15" s="4">
        <v>0.06</v>
      </c>
    </row>
    <row r="16" spans="1:5">
      <c r="A16" t="s">
        <v>174</v>
      </c>
      <c r="B16">
        <v>1.1499999999999999</v>
      </c>
      <c r="C16">
        <v>1.05</v>
      </c>
      <c r="D16">
        <v>1.25</v>
      </c>
    </row>
    <row r="17" spans="1:5">
      <c r="A17" t="s">
        <v>175</v>
      </c>
      <c r="B17" s="5">
        <f>B14 + (B16 * B15)</f>
        <v>0.1429</v>
      </c>
      <c r="C17" s="5">
        <f>C14 + (C16 * C15)</f>
        <v>0.1275</v>
      </c>
      <c r="D17" s="5">
        <f>D14 + (D16 * D15)</f>
        <v>0.16</v>
      </c>
    </row>
    <row r="19" spans="1:5">
      <c r="A19" s="2" t="s">
        <v>176</v>
      </c>
      <c r="B19" s="2" t="s">
        <v>159</v>
      </c>
      <c r="C19" s="2" t="s">
        <v>160</v>
      </c>
      <c r="D19" s="2" t="s">
        <v>161</v>
      </c>
      <c r="E19" s="2" t="s">
        <v>162</v>
      </c>
    </row>
    <row r="20" spans="1:5">
      <c r="A20" t="s">
        <v>177</v>
      </c>
      <c r="B20" s="4">
        <v>0.2</v>
      </c>
      <c r="C20" s="4">
        <v>0.22</v>
      </c>
      <c r="D20" s="4">
        <v>0.18</v>
      </c>
    </row>
    <row r="21" spans="1:5">
      <c r="A21" t="s">
        <v>178</v>
      </c>
      <c r="B21" s="8">
        <f>B20 * B9</f>
        <v>7.7680000000000007</v>
      </c>
      <c r="C21" s="8">
        <f>C20 * C9</f>
        <v>8.5448000000000004</v>
      </c>
      <c r="D21" s="8">
        <f>D20 * D9</f>
        <v>6.9912000000000001</v>
      </c>
    </row>
    <row r="22" spans="1:5">
      <c r="A22" t="s">
        <v>179</v>
      </c>
      <c r="B22" s="5">
        <f>B10 / B21</f>
        <v>0.59989701338825951</v>
      </c>
      <c r="C22" s="5">
        <f>C10 / C21</f>
        <v>0.54536092126205415</v>
      </c>
      <c r="D22" s="5">
        <f>D10 / D21</f>
        <v>0.6665522370980661</v>
      </c>
    </row>
    <row r="23" spans="1:5">
      <c r="A23" t="s">
        <v>180</v>
      </c>
      <c r="B23" s="5">
        <f>1-B22</f>
        <v>0.40010298661174049</v>
      </c>
      <c r="C23" s="5">
        <f t="shared" ref="C23:D23" si="0">1-C22</f>
        <v>0.45463907873794585</v>
      </c>
      <c r="D23" s="5">
        <f t="shared" si="0"/>
        <v>0.3334477629019339</v>
      </c>
    </row>
    <row r="24" spans="1:5">
      <c r="A24" t="s">
        <v>181</v>
      </c>
      <c r="B24" s="5">
        <f>B20 * B23</f>
        <v>8.0020597322348105E-2</v>
      </c>
      <c r="C24" s="5">
        <f t="shared" ref="C24:D24" si="1">C20 * C23</f>
        <v>0.10002059732234808</v>
      </c>
      <c r="D24" s="5">
        <f t="shared" si="1"/>
        <v>6.0020597322348102E-2</v>
      </c>
    </row>
    <row r="26" spans="1:5">
      <c r="A26" s="2" t="s">
        <v>182</v>
      </c>
      <c r="B26" s="2" t="s">
        <v>159</v>
      </c>
      <c r="C26" s="2" t="s">
        <v>160</v>
      </c>
      <c r="D26" s="2" t="s">
        <v>161</v>
      </c>
      <c r="E26" s="2" t="s">
        <v>162</v>
      </c>
    </row>
    <row r="27" spans="1:5">
      <c r="A27" t="s">
        <v>183</v>
      </c>
      <c r="B27" s="8">
        <f>(B20-B24)/(B17-B24)</f>
        <v>1.908087506694685</v>
      </c>
      <c r="C27" s="8">
        <f t="shared" ref="C27:D27" si="2">(C20-C24)/(C17-C24)</f>
        <v>4.3661575939286026</v>
      </c>
      <c r="D27" s="8">
        <f t="shared" si="2"/>
        <v>1.2000412031314378</v>
      </c>
    </row>
    <row r="28" spans="1:5">
      <c r="A28" t="s">
        <v>184</v>
      </c>
      <c r="B28" s="8">
        <f>B27 * B9</f>
        <v>74.110118760021564</v>
      </c>
      <c r="C28" s="8">
        <f t="shared" ref="C28:D28" si="3">C27 * C9</f>
        <v>169.58156094818693</v>
      </c>
      <c r="D28" s="8">
        <f t="shared" si="3"/>
        <v>46.609600329625046</v>
      </c>
    </row>
    <row r="29" spans="1:5">
      <c r="A29" t="s">
        <v>185</v>
      </c>
      <c r="B29" s="8">
        <f>(B28-B8)/B8</f>
        <v>-0.21989348673661513</v>
      </c>
      <c r="C29" s="8">
        <f t="shared" ref="C29:D29" si="4">(C28-C8)/C8</f>
        <v>0.78506906261249398</v>
      </c>
      <c r="D29" s="8">
        <f t="shared" si="4"/>
        <v>-0.50937262810921002</v>
      </c>
    </row>
    <row r="31" spans="1:5">
      <c r="A31" s="2" t="s">
        <v>186</v>
      </c>
      <c r="B31" s="2" t="s">
        <v>159</v>
      </c>
      <c r="C31" s="2" t="s">
        <v>160</v>
      </c>
      <c r="D31" s="2" t="s">
        <v>161</v>
      </c>
      <c r="E31" s="2" t="s">
        <v>162</v>
      </c>
    </row>
    <row r="32" spans="1:5">
      <c r="A32" t="s">
        <v>187</v>
      </c>
      <c r="B32" s="8">
        <f>B11</f>
        <v>2.4459320288362512</v>
      </c>
      <c r="C32" s="8">
        <f>$B$32</f>
        <v>2.4459320288362512</v>
      </c>
      <c r="D32" s="8">
        <f>$B$32</f>
        <v>2.4459320288362512</v>
      </c>
    </row>
    <row r="33" spans="1:7">
      <c r="A33" t="s">
        <v>188</v>
      </c>
      <c r="B33" s="5">
        <f>B24 + (B32*(B17-B24))</f>
        <v>0.23381934228570883</v>
      </c>
      <c r="C33" s="5">
        <f>C24 + (C32 * (C17 - C24))</f>
        <v>0.16723334846490556</v>
      </c>
      <c r="D33" s="5">
        <f>D24 + (D32 * (D17 - D24))</f>
        <v>0.30456342055553376</v>
      </c>
    </row>
    <row r="34" spans="1:7">
      <c r="A34" t="s">
        <v>189</v>
      </c>
      <c r="B34" s="5">
        <f>B20 - B33</f>
        <v>-3.381934228570882E-2</v>
      </c>
      <c r="C34" s="5">
        <f t="shared" ref="C34:D34" si="5">C20 - C33</f>
        <v>5.2766651535094439E-2</v>
      </c>
      <c r="D34" s="5">
        <f t="shared" si="5"/>
        <v>-0.12456342055553377</v>
      </c>
    </row>
    <row r="36" spans="1:7" ht="29.25">
      <c r="A36" s="9" t="s">
        <v>190</v>
      </c>
      <c r="B36" s="2" t="s">
        <v>159</v>
      </c>
      <c r="C36" s="2" t="s">
        <v>160</v>
      </c>
      <c r="D36" s="2" t="s">
        <v>161</v>
      </c>
      <c r="E36" s="2" t="s">
        <v>162</v>
      </c>
    </row>
    <row r="37" spans="1:7">
      <c r="A37" t="s">
        <v>191</v>
      </c>
      <c r="B37" s="5">
        <f>B20 - B17</f>
        <v>5.7100000000000012E-2</v>
      </c>
      <c r="C37" s="5">
        <f>C20-C17</f>
        <v>9.2499999999999999E-2</v>
      </c>
      <c r="D37" s="5">
        <f>D20 - D17</f>
        <v>1.999999999999999E-2</v>
      </c>
    </row>
    <row r="38" spans="1:7">
      <c r="A38" t="s">
        <v>192</v>
      </c>
      <c r="B38" s="8">
        <f>1 + (B37 / (B17 - B24))</f>
        <v>1.908087506694685</v>
      </c>
      <c r="C38" s="8">
        <f t="shared" ref="C38:D38" si="6">1 + (C37 / (C17 - C24))</f>
        <v>4.3661575939286035</v>
      </c>
      <c r="D38" s="8">
        <f t="shared" si="6"/>
        <v>1.2000412031314378</v>
      </c>
    </row>
    <row r="39" spans="1:7">
      <c r="A39" t="s">
        <v>193</v>
      </c>
      <c r="B39" s="8">
        <f>B38 * B9</f>
        <v>74.110118760021564</v>
      </c>
      <c r="C39" s="8">
        <f t="shared" ref="C39:D39" si="7">C38 * C9</f>
        <v>169.58156094818696</v>
      </c>
      <c r="D39" s="8">
        <f t="shared" si="7"/>
        <v>46.609600329625046</v>
      </c>
    </row>
    <row r="41" spans="1:7">
      <c r="A41" s="2" t="s">
        <v>194</v>
      </c>
      <c r="B41" s="2" t="s">
        <v>159</v>
      </c>
      <c r="C41" s="2" t="s">
        <v>160</v>
      </c>
      <c r="D41" s="2" t="s">
        <v>161</v>
      </c>
      <c r="E41" s="2" t="s">
        <v>162</v>
      </c>
    </row>
    <row r="42" spans="1:7">
      <c r="A42" t="s">
        <v>195</v>
      </c>
      <c r="B42" s="8">
        <f>B10 * (1 + B24)</f>
        <v>5.0328959835221418</v>
      </c>
      <c r="C42" s="8">
        <f>C10 * (1 + C24)</f>
        <v>5.1260959835221422</v>
      </c>
      <c r="D42" s="8">
        <f>D10 * (1 + D24)</f>
        <v>4.9396959835221432</v>
      </c>
    </row>
    <row r="43" spans="1:7">
      <c r="A43" t="s">
        <v>196</v>
      </c>
      <c r="B43" s="8">
        <f>B42 / (B17 - B24)</f>
        <v>80.040454730828642</v>
      </c>
      <c r="C43" s="8">
        <f>C42 / (C17 - C24)</f>
        <v>186.54320996908075</v>
      </c>
      <c r="D43" s="8">
        <f>D42 / (D17 - D24)</f>
        <v>49.407136382365074</v>
      </c>
    </row>
    <row r="46" spans="1:7">
      <c r="A46" s="2" t="s">
        <v>197</v>
      </c>
      <c r="B46" s="2">
        <v>0.06</v>
      </c>
      <c r="C46" s="2"/>
      <c r="D46" s="2"/>
      <c r="E46" s="2"/>
    </row>
    <row r="48" spans="1:7">
      <c r="A48" t="s">
        <v>198</v>
      </c>
      <c r="B48" s="4">
        <v>0.13</v>
      </c>
      <c r="C48" s="4">
        <v>0.14000000000000001</v>
      </c>
      <c r="D48" s="4">
        <v>0.15</v>
      </c>
      <c r="E48" s="4">
        <v>0.16</v>
      </c>
      <c r="F48" s="4">
        <v>0.17</v>
      </c>
      <c r="G48" s="4">
        <v>0.18</v>
      </c>
    </row>
    <row r="49" spans="1:7">
      <c r="A49" s="4">
        <v>0.16</v>
      </c>
      <c r="B49" s="8">
        <f>(A49-$B$46)/(B48-$B$46)</f>
        <v>1.4285714285714286</v>
      </c>
      <c r="C49" s="8">
        <f>(A49-$B$46)/(C48-$B$46)</f>
        <v>1.2499999999999998</v>
      </c>
      <c r="D49" s="8">
        <f>(A49-$C$46)/(D48-$C$46)</f>
        <v>1.0666666666666667</v>
      </c>
      <c r="E49" s="8">
        <f>(A49-$C$46)/(E48-$C$46)</f>
        <v>1</v>
      </c>
      <c r="F49" s="8">
        <f>(A49-$C$46)/(F48-$C$46)</f>
        <v>0.94117647058823528</v>
      </c>
      <c r="G49" s="8">
        <f>(A49-$C$46)/(G48-$C$46)</f>
        <v>0.88888888888888895</v>
      </c>
    </row>
    <row r="50" spans="1:7">
      <c r="A50" s="4">
        <v>0.18</v>
      </c>
      <c r="B50" s="8">
        <f>(A50-$B$46)/(B48-$B$46)</f>
        <v>1.714285714285714</v>
      </c>
      <c r="C50" s="8">
        <f>(A50-$B$46)/(C48-$B$46)</f>
        <v>1.4999999999999996</v>
      </c>
      <c r="D50" s="8">
        <f>(A50-$B$46)/(D48-$B$46)</f>
        <v>1.3333333333333333</v>
      </c>
      <c r="E50" s="8">
        <f>(A50-$B$46)/(E48-$B$46)</f>
        <v>1.2</v>
      </c>
      <c r="F50" s="8">
        <f>(A50-$B$46)/(F48-$B$46)</f>
        <v>1.0909090909090908</v>
      </c>
      <c r="G50" s="8">
        <f>(A50-$B$46)/(G48-$B$46)</f>
        <v>1</v>
      </c>
    </row>
    <row r="51" spans="1:7">
      <c r="A51" s="4">
        <v>0.2</v>
      </c>
      <c r="B51" s="8">
        <f>(A51-$B$46)/(B48-$B$46)</f>
        <v>2</v>
      </c>
      <c r="C51" s="8">
        <f>(A51-$B$46)/(C48-$B$46)</f>
        <v>1.7499999999999998</v>
      </c>
      <c r="D51" s="8">
        <f>(A51-$B$46)/(D48-$B$46)</f>
        <v>1.5555555555555558</v>
      </c>
      <c r="E51" s="8">
        <f>(A51-$B$46)/(E48-$B$46)</f>
        <v>1.4000000000000001</v>
      </c>
      <c r="F51" s="8">
        <f>(A51-$B$46)/(F48-$B$46)</f>
        <v>1.2727272727272727</v>
      </c>
      <c r="G51" s="8">
        <f>(A51-$B$46)/(G48-$B$46)</f>
        <v>1.1666666666666667</v>
      </c>
    </row>
    <row r="52" spans="1:7">
      <c r="A52" s="4">
        <v>0.22</v>
      </c>
      <c r="B52" s="8">
        <f>(A52-$B$46)/(B48-$B$46)</f>
        <v>2.2857142857142856</v>
      </c>
      <c r="C52" s="8">
        <f>(A52-$B$46)/(C48-$B$46)</f>
        <v>1.9999999999999996</v>
      </c>
      <c r="D52" s="8">
        <f>(A52-$B$46)/(D48-$B$46)</f>
        <v>1.7777777777777779</v>
      </c>
      <c r="E52" s="8">
        <f>(A52-$B$46)/(E48-$B$46)</f>
        <v>1.5999999999999999</v>
      </c>
      <c r="F52" s="8">
        <f>(A52-$B$46)/(F48-$B$46)</f>
        <v>1.4545454545454544</v>
      </c>
      <c r="G52" s="8">
        <f>(A52-$B$46)/(G48-$B$46)</f>
        <v>1.3333333333333335</v>
      </c>
    </row>
    <row r="53" spans="1:7">
      <c r="A53" s="4">
        <v>0.24</v>
      </c>
      <c r="B53" s="8">
        <f>(A53-$B$46)/(B48-$B$46)</f>
        <v>2.5714285714285712</v>
      </c>
      <c r="C53" s="8">
        <f>(A53-$B$46)/(C48-$B$46)</f>
        <v>2.2499999999999996</v>
      </c>
      <c r="D53" s="8">
        <f>(A53-$B$46)/(D48-$B$46)</f>
        <v>2</v>
      </c>
      <c r="E53" s="8">
        <f>(A53-$B$46)/(E48-$B$46)</f>
        <v>1.7999999999999998</v>
      </c>
      <c r="F53" s="8">
        <f>(A53-$B$46)/(F48-$B$46)</f>
        <v>1.636363636363636</v>
      </c>
      <c r="G53" s="8">
        <f>(A53-$B$46)/(G48-$B$46)</f>
        <v>1.5</v>
      </c>
    </row>
    <row r="54" spans="1:7">
      <c r="A54" s="4">
        <v>0.26</v>
      </c>
      <c r="B54" s="8">
        <f>(A54-$B$46)/(B48-$B$46)</f>
        <v>2.8571428571428572</v>
      </c>
      <c r="C54" s="8">
        <f>(A54-$B$46)/(C48-$B$46)</f>
        <v>2.4999999999999996</v>
      </c>
      <c r="D54" s="8">
        <f>(A54-$B$46)/(D48-$B$46)</f>
        <v>2.2222222222222223</v>
      </c>
      <c r="E54" s="8">
        <f>(A54-$B$46)/(E48-$B$46)</f>
        <v>2</v>
      </c>
      <c r="F54" s="8">
        <f>(A54-$B$46)/(F48-$B$46)</f>
        <v>1.8181818181818181</v>
      </c>
      <c r="G54" s="8">
        <f>(A54-$B$46)/(G48-$B$46)</f>
        <v>1.6666666666666667</v>
      </c>
    </row>
    <row r="62" spans="1:7">
      <c r="A62" s="9" t="s">
        <v>199</v>
      </c>
      <c r="B62" s="2" t="s">
        <v>159</v>
      </c>
      <c r="C62" s="2" t="s">
        <v>160</v>
      </c>
      <c r="D62" s="2" t="s">
        <v>161</v>
      </c>
      <c r="E62" s="2" t="s">
        <v>162</v>
      </c>
    </row>
    <row r="64" spans="1:7">
      <c r="A64" t="s">
        <v>200</v>
      </c>
      <c r="B64">
        <f>B8</f>
        <v>95</v>
      </c>
      <c r="C64">
        <f t="shared" ref="C64:D64" si="8">C8</f>
        <v>95</v>
      </c>
      <c r="D64">
        <f t="shared" si="8"/>
        <v>95</v>
      </c>
    </row>
    <row r="65" spans="1:4">
      <c r="A65" t="s">
        <v>201</v>
      </c>
      <c r="B65" s="8">
        <f>B28</f>
        <v>74.110118760021564</v>
      </c>
      <c r="C65" s="8">
        <f t="shared" ref="C65:D65" si="9">C28</f>
        <v>169.58156094818693</v>
      </c>
      <c r="D65" s="8">
        <f t="shared" si="9"/>
        <v>46.609600329625046</v>
      </c>
    </row>
    <row r="66" spans="1:4">
      <c r="A66" t="s">
        <v>202</v>
      </c>
      <c r="B66" s="5">
        <f>B33</f>
        <v>0.23381934228570883</v>
      </c>
      <c r="C66" s="5">
        <f t="shared" ref="C66:D66" si="10">C33</f>
        <v>0.16723334846490556</v>
      </c>
      <c r="D66" s="5">
        <f t="shared" si="10"/>
        <v>0.30456342055553376</v>
      </c>
    </row>
    <row r="67" spans="1:4">
      <c r="A67" t="s">
        <v>203</v>
      </c>
      <c r="B67" s="4">
        <f>B20</f>
        <v>0.2</v>
      </c>
      <c r="C67" s="4">
        <f t="shared" ref="C67:D67" si="11">C20</f>
        <v>0.22</v>
      </c>
      <c r="D67" s="4">
        <f t="shared" si="11"/>
        <v>0.18</v>
      </c>
    </row>
    <row r="68" spans="1:4">
      <c r="A68" t="s">
        <v>204</v>
      </c>
      <c r="B68" s="5">
        <f>(B65-B64)/B64</f>
        <v>-0.21989348673661513</v>
      </c>
      <c r="C68" s="5">
        <f t="shared" ref="C68:D68" si="12">(C65-C64)/C64</f>
        <v>0.78506906261249398</v>
      </c>
      <c r="D68" s="5">
        <f t="shared" si="12"/>
        <v>-0.50937262810921002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CB617-6E36-44D2-A84B-25903E5FF005}">
  <dimension ref="A3:A136"/>
  <sheetViews>
    <sheetView workbookViewId="0">
      <selection activeCell="A6" sqref="A6"/>
    </sheetView>
  </sheetViews>
  <sheetFormatPr defaultRowHeight="15"/>
  <cols>
    <col min="1" max="1" width="64" customWidth="1"/>
  </cols>
  <sheetData>
    <row r="3" spans="1:1">
      <c r="A3" s="2" t="s">
        <v>205</v>
      </c>
    </row>
    <row r="4" spans="1:1">
      <c r="A4" t="s">
        <v>206</v>
      </c>
    </row>
    <row r="5" spans="1:1">
      <c r="A5" t="s">
        <v>207</v>
      </c>
    </row>
    <row r="8" spans="1:1">
      <c r="A8" s="2" t="s">
        <v>208</v>
      </c>
    </row>
    <row r="10" spans="1:1" ht="43.5">
      <c r="A10" s="3" t="s">
        <v>209</v>
      </c>
    </row>
    <row r="12" spans="1:1" ht="101.25">
      <c r="A12" s="3" t="s">
        <v>210</v>
      </c>
    </row>
    <row r="14" spans="1:1" ht="57.75">
      <c r="A14" s="3" t="s">
        <v>211</v>
      </c>
    </row>
    <row r="17" spans="1:1">
      <c r="A17" s="2" t="s">
        <v>212</v>
      </c>
    </row>
    <row r="19" spans="1:1" ht="57.75">
      <c r="A19" s="3" t="s">
        <v>213</v>
      </c>
    </row>
    <row r="21" spans="1:1" ht="29.25">
      <c r="A21" s="3" t="s">
        <v>214</v>
      </c>
    </row>
    <row r="24" spans="1:1">
      <c r="A24" s="2" t="s">
        <v>215</v>
      </c>
    </row>
    <row r="25" spans="1:1">
      <c r="A25" t="s">
        <v>216</v>
      </c>
    </row>
    <row r="27" spans="1:1">
      <c r="A27" t="s">
        <v>217</v>
      </c>
    </row>
    <row r="28" spans="1:1">
      <c r="A28" t="s">
        <v>218</v>
      </c>
    </row>
    <row r="30" spans="1:1">
      <c r="A30" t="s">
        <v>219</v>
      </c>
    </row>
    <row r="31" spans="1:1">
      <c r="A31" t="s">
        <v>220</v>
      </c>
    </row>
    <row r="32" spans="1:1">
      <c r="A32" t="s">
        <v>221</v>
      </c>
    </row>
    <row r="33" spans="1:1">
      <c r="A33" t="s">
        <v>222</v>
      </c>
    </row>
    <row r="35" spans="1:1">
      <c r="A35" t="s">
        <v>223</v>
      </c>
    </row>
    <row r="36" spans="1:1">
      <c r="A36" t="s">
        <v>224</v>
      </c>
    </row>
    <row r="37" spans="1:1">
      <c r="A37" t="s">
        <v>225</v>
      </c>
    </row>
    <row r="38" spans="1:1">
      <c r="A38" t="s">
        <v>226</v>
      </c>
    </row>
    <row r="40" spans="1:1">
      <c r="A40" t="s">
        <v>227</v>
      </c>
    </row>
    <row r="42" spans="1:1">
      <c r="A42" t="s">
        <v>228</v>
      </c>
    </row>
    <row r="44" spans="1:1">
      <c r="A44" t="s">
        <v>229</v>
      </c>
    </row>
    <row r="45" spans="1:1" ht="29.25">
      <c r="A45" s="3" t="s">
        <v>230</v>
      </c>
    </row>
    <row r="48" spans="1:1">
      <c r="A48" s="2" t="s">
        <v>231</v>
      </c>
    </row>
    <row r="49" spans="1:1">
      <c r="A49" t="s">
        <v>232</v>
      </c>
    </row>
    <row r="51" spans="1:1">
      <c r="A51" t="s">
        <v>219</v>
      </c>
    </row>
    <row r="52" spans="1:1">
      <c r="A52" t="s">
        <v>233</v>
      </c>
    </row>
    <row r="53" spans="1:1">
      <c r="A53" t="s">
        <v>234</v>
      </c>
    </row>
    <row r="55" spans="1:1">
      <c r="A55" t="s">
        <v>223</v>
      </c>
    </row>
    <row r="56" spans="1:1">
      <c r="A56" t="s">
        <v>235</v>
      </c>
    </row>
    <row r="57" spans="1:1">
      <c r="A57" t="s">
        <v>236</v>
      </c>
    </row>
    <row r="58" spans="1:1">
      <c r="A58" t="s">
        <v>237</v>
      </c>
    </row>
    <row r="60" spans="1:1">
      <c r="A60" t="s">
        <v>229</v>
      </c>
    </row>
    <row r="61" spans="1:1" ht="43.5">
      <c r="A61" s="3" t="s">
        <v>238</v>
      </c>
    </row>
    <row r="64" spans="1:1">
      <c r="A64" s="2" t="s">
        <v>239</v>
      </c>
    </row>
    <row r="65" spans="1:1">
      <c r="A65" t="s">
        <v>240</v>
      </c>
    </row>
    <row r="67" spans="1:1">
      <c r="A67" t="s">
        <v>219</v>
      </c>
    </row>
    <row r="68" spans="1:1">
      <c r="A68" t="s">
        <v>241</v>
      </c>
    </row>
    <row r="69" spans="1:1">
      <c r="A69" t="s">
        <v>242</v>
      </c>
    </row>
    <row r="71" spans="1:1">
      <c r="A71" t="s">
        <v>223</v>
      </c>
    </row>
    <row r="72" spans="1:1">
      <c r="A72" t="s">
        <v>243</v>
      </c>
    </row>
    <row r="73" spans="1:1">
      <c r="A73" t="s">
        <v>244</v>
      </c>
    </row>
    <row r="74" spans="1:1">
      <c r="A74" t="s">
        <v>245</v>
      </c>
    </row>
    <row r="76" spans="1:1">
      <c r="A76" t="s">
        <v>229</v>
      </c>
    </row>
    <row r="77" spans="1:1" ht="43.5">
      <c r="A77" s="3" t="s">
        <v>246</v>
      </c>
    </row>
    <row r="80" spans="1:1">
      <c r="A80" s="2" t="s">
        <v>247</v>
      </c>
    </row>
    <row r="82" spans="1:1" ht="43.5">
      <c r="A82" s="3" t="s">
        <v>248</v>
      </c>
    </row>
    <row r="84" spans="1:1">
      <c r="A84" t="s">
        <v>249</v>
      </c>
    </row>
    <row r="85" spans="1:1">
      <c r="A85" t="s">
        <v>250</v>
      </c>
    </row>
    <row r="86" spans="1:1">
      <c r="A86" t="s">
        <v>251</v>
      </c>
    </row>
    <row r="87" spans="1:1">
      <c r="A87" t="s">
        <v>252</v>
      </c>
    </row>
    <row r="89" spans="1:1">
      <c r="A89" t="s">
        <v>253</v>
      </c>
    </row>
    <row r="92" spans="1:1">
      <c r="A92" s="2" t="s">
        <v>254</v>
      </c>
    </row>
    <row r="94" spans="1:1" ht="29.25">
      <c r="A94" s="3" t="s">
        <v>255</v>
      </c>
    </row>
    <row r="96" spans="1:1">
      <c r="A96" t="s">
        <v>256</v>
      </c>
    </row>
    <row r="98" spans="1:1">
      <c r="A98" t="s">
        <v>257</v>
      </c>
    </row>
    <row r="99" spans="1:1">
      <c r="A99" t="s">
        <v>257</v>
      </c>
    </row>
    <row r="100" spans="1:1">
      <c r="A100" t="s">
        <v>258</v>
      </c>
    </row>
    <row r="101" spans="1:1">
      <c r="A101" t="s">
        <v>259</v>
      </c>
    </row>
    <row r="103" spans="1:1" ht="43.5">
      <c r="A103" s="3" t="s">
        <v>260</v>
      </c>
    </row>
    <row r="106" spans="1:1">
      <c r="A106" s="2" t="s">
        <v>261</v>
      </c>
    </row>
    <row r="108" spans="1:1">
      <c r="A108" t="s">
        <v>262</v>
      </c>
    </row>
    <row r="109" spans="1:1" ht="29.25">
      <c r="A109" s="3" t="s">
        <v>263</v>
      </c>
    </row>
    <row r="111" spans="1:1">
      <c r="A111" t="s">
        <v>264</v>
      </c>
    </row>
    <row r="112" spans="1:1" ht="29.25">
      <c r="A112" s="3" t="s">
        <v>265</v>
      </c>
    </row>
    <row r="114" spans="1:1" ht="29.25">
      <c r="A114" s="3" t="s">
        <v>266</v>
      </c>
    </row>
    <row r="117" spans="1:1">
      <c r="A117" s="2" t="s">
        <v>267</v>
      </c>
    </row>
    <row r="119" spans="1:1" ht="29.25">
      <c r="A119" s="3" t="s">
        <v>268</v>
      </c>
    </row>
    <row r="121" spans="1:1" ht="29.25">
      <c r="A121" s="3" t="s">
        <v>269</v>
      </c>
    </row>
    <row r="123" spans="1:1">
      <c r="A123" t="s">
        <v>270</v>
      </c>
    </row>
    <row r="126" spans="1:1">
      <c r="A126" s="2" t="s">
        <v>271</v>
      </c>
    </row>
    <row r="128" spans="1:1" ht="29.25">
      <c r="A128" s="3" t="s">
        <v>272</v>
      </c>
    </row>
    <row r="130" spans="1:1" ht="29.25">
      <c r="A130" s="3" t="s">
        <v>273</v>
      </c>
    </row>
    <row r="132" spans="1:1">
      <c r="A132" t="s">
        <v>274</v>
      </c>
    </row>
    <row r="133" spans="1:1">
      <c r="A133" t="s">
        <v>275</v>
      </c>
    </row>
    <row r="134" spans="1:1">
      <c r="A134" t="s">
        <v>276</v>
      </c>
    </row>
    <row r="136" spans="1:1" ht="29.25">
      <c r="A136" s="3" t="s">
        <v>277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19A24-1CD9-4CA2-9053-B98F12BABE19}">
  <dimension ref="A1:A7"/>
  <sheetViews>
    <sheetView workbookViewId="0">
      <selection activeCell="A9" sqref="A9"/>
    </sheetView>
  </sheetViews>
  <sheetFormatPr defaultRowHeight="15"/>
  <cols>
    <col min="1" max="1" width="36.5703125" bestFit="1" customWidth="1"/>
  </cols>
  <sheetData>
    <row r="1" spans="1:1" ht="29.25">
      <c r="A1" s="14" t="s">
        <v>278</v>
      </c>
    </row>
    <row r="3" spans="1:1">
      <c r="A3" t="s">
        <v>279</v>
      </c>
    </row>
    <row r="4" spans="1:1">
      <c r="A4" t="s">
        <v>280</v>
      </c>
    </row>
    <row r="5" spans="1:1">
      <c r="A5" t="s">
        <v>281</v>
      </c>
    </row>
    <row r="6" spans="1:1">
      <c r="A6" t="s">
        <v>282</v>
      </c>
    </row>
    <row r="7" spans="1:1">
      <c r="A7" t="s">
        <v>283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58E886-F4AB-49D9-BDEF-F655400A0A3B}">
  <dimension ref="A3:F26"/>
  <sheetViews>
    <sheetView topLeftCell="A4" workbookViewId="0">
      <selection activeCell="C24" sqref="C24"/>
    </sheetView>
  </sheetViews>
  <sheetFormatPr defaultRowHeight="15"/>
  <cols>
    <col min="1" max="1" width="36.5703125" bestFit="1" customWidth="1"/>
  </cols>
  <sheetData>
    <row r="3" spans="1:6" ht="29.25">
      <c r="A3" s="3" t="s">
        <v>284</v>
      </c>
    </row>
    <row r="4" spans="1:6">
      <c r="A4" t="s">
        <v>285</v>
      </c>
    </row>
    <row r="6" spans="1:6">
      <c r="A6" s="2" t="s">
        <v>286</v>
      </c>
    </row>
    <row r="8" spans="1:6">
      <c r="A8" s="2" t="s">
        <v>27</v>
      </c>
      <c r="B8" s="2" t="s">
        <v>287</v>
      </c>
      <c r="C8" s="2" t="s">
        <v>288</v>
      </c>
      <c r="D8" s="2" t="s">
        <v>289</v>
      </c>
      <c r="E8" s="2" t="s">
        <v>290</v>
      </c>
      <c r="F8" s="2" t="s">
        <v>291</v>
      </c>
    </row>
    <row r="9" spans="1:6">
      <c r="A9" t="s">
        <v>292</v>
      </c>
      <c r="B9" s="15">
        <v>0.115</v>
      </c>
      <c r="C9" s="15">
        <v>0.13500000000000001</v>
      </c>
      <c r="D9" s="15">
        <v>0.121</v>
      </c>
      <c r="E9" s="15">
        <v>0.13200000000000001</v>
      </c>
      <c r="F9" s="15">
        <v>0.13500000000000001</v>
      </c>
    </row>
    <row r="10" spans="1:6">
      <c r="A10" t="s">
        <v>293</v>
      </c>
      <c r="B10" s="15">
        <v>0.14499999999999999</v>
      </c>
      <c r="C10" s="15">
        <v>0.16300000000000001</v>
      </c>
      <c r="D10" s="15">
        <v>0.14899999999999999</v>
      </c>
      <c r="E10" s="15">
        <v>0.156</v>
      </c>
      <c r="F10" s="15">
        <v>0.161</v>
      </c>
    </row>
    <row r="11" spans="1:6">
      <c r="A11" t="s">
        <v>294</v>
      </c>
      <c r="B11">
        <v>1114321</v>
      </c>
      <c r="C11">
        <v>1058916</v>
      </c>
      <c r="D11">
        <v>1135517</v>
      </c>
      <c r="E11">
        <v>1323864</v>
      </c>
      <c r="F11">
        <v>1400000</v>
      </c>
    </row>
    <row r="12" spans="1:6">
      <c r="A12" t="s">
        <v>295</v>
      </c>
      <c r="B12">
        <v>121785</v>
      </c>
      <c r="C12">
        <v>143000</v>
      </c>
      <c r="D12">
        <v>137189</v>
      </c>
      <c r="E12">
        <v>174740</v>
      </c>
      <c r="F12">
        <v>189158</v>
      </c>
    </row>
    <row r="13" spans="1:6">
      <c r="A13" t="s">
        <v>296</v>
      </c>
      <c r="B13" s="4">
        <v>7.0000000000000007E-2</v>
      </c>
      <c r="C13" s="4">
        <v>0.08</v>
      </c>
      <c r="D13" s="4">
        <v>0.08</v>
      </c>
      <c r="E13" s="15">
        <v>8.7999999999999995E-2</v>
      </c>
      <c r="F13" s="4">
        <v>0.09</v>
      </c>
    </row>
    <row r="14" spans="1:6">
      <c r="A14" t="s">
        <v>297</v>
      </c>
      <c r="B14" t="s">
        <v>298</v>
      </c>
      <c r="C14" t="s">
        <v>298</v>
      </c>
      <c r="D14" t="s">
        <v>298</v>
      </c>
      <c r="E14" t="s">
        <v>298</v>
      </c>
      <c r="F14" t="s">
        <v>298</v>
      </c>
    </row>
    <row r="15" spans="1:6">
      <c r="A15" t="s">
        <v>299</v>
      </c>
      <c r="B15">
        <v>16716</v>
      </c>
      <c r="C15">
        <v>6170</v>
      </c>
      <c r="D15">
        <v>17390</v>
      </c>
      <c r="E15">
        <v>27991</v>
      </c>
      <c r="F15">
        <v>22158</v>
      </c>
    </row>
    <row r="16" spans="1:6">
      <c r="A16" t="s">
        <v>300</v>
      </c>
      <c r="B16">
        <v>17326</v>
      </c>
      <c r="C16">
        <v>26950</v>
      </c>
      <c r="D16">
        <v>32817</v>
      </c>
      <c r="E16">
        <v>36700</v>
      </c>
      <c r="F16">
        <v>38054</v>
      </c>
    </row>
    <row r="17" spans="1:6">
      <c r="A17" t="s">
        <v>301</v>
      </c>
      <c r="B17">
        <f>B16-B15</f>
        <v>610</v>
      </c>
      <c r="C17">
        <f t="shared" ref="C17:F17" si="0">C16-C15</f>
        <v>20780</v>
      </c>
      <c r="D17">
        <f t="shared" si="0"/>
        <v>15427</v>
      </c>
      <c r="E17">
        <f t="shared" si="0"/>
        <v>8709</v>
      </c>
      <c r="F17">
        <f t="shared" si="0"/>
        <v>15896</v>
      </c>
    </row>
    <row r="19" spans="1:6">
      <c r="A19" s="2" t="s">
        <v>302</v>
      </c>
    </row>
    <row r="21" spans="1:6">
      <c r="A21" s="2" t="s">
        <v>27</v>
      </c>
      <c r="B21" s="2" t="s">
        <v>287</v>
      </c>
      <c r="C21" s="2" t="s">
        <v>288</v>
      </c>
      <c r="D21" s="2" t="s">
        <v>289</v>
      </c>
      <c r="E21" s="2" t="s">
        <v>290</v>
      </c>
      <c r="F21" s="2" t="s">
        <v>291</v>
      </c>
    </row>
    <row r="22" spans="1:6">
      <c r="A22" t="s">
        <v>303</v>
      </c>
      <c r="B22" s="5">
        <f>B9-B13</f>
        <v>4.4999999999999998E-2</v>
      </c>
      <c r="C22" s="5">
        <f t="shared" ref="C22:F22" si="1">C9-C13</f>
        <v>5.5000000000000007E-2</v>
      </c>
      <c r="D22" s="5">
        <f t="shared" si="1"/>
        <v>4.0999999999999995E-2</v>
      </c>
      <c r="E22" s="5">
        <f t="shared" si="1"/>
        <v>4.4000000000000011E-2</v>
      </c>
      <c r="F22" s="5">
        <f t="shared" si="1"/>
        <v>4.5000000000000012E-2</v>
      </c>
    </row>
    <row r="23" spans="1:6">
      <c r="A23" t="s">
        <v>304</v>
      </c>
      <c r="C23" s="4">
        <v>-4.9799999999999997E-2</v>
      </c>
      <c r="D23" s="5">
        <v>7.22E-2</v>
      </c>
      <c r="E23" s="5">
        <v>0.16589999999999999</v>
      </c>
      <c r="F23" s="5">
        <v>5.7500000000000002E-2</v>
      </c>
    </row>
    <row r="24" spans="1:6">
      <c r="A24" t="s">
        <v>305</v>
      </c>
      <c r="C24" s="5">
        <v>0.1741</v>
      </c>
      <c r="D24" s="5">
        <v>-4.0599999999999997E-2</v>
      </c>
      <c r="E24" s="5">
        <v>0.27360000000000001</v>
      </c>
      <c r="F24" s="5">
        <v>8.2500000000000004E-2</v>
      </c>
    </row>
    <row r="25" spans="1:6">
      <c r="A25" t="s">
        <v>306</v>
      </c>
      <c r="B25" s="5">
        <f>B15/B16</f>
        <v>0.96479279695255682</v>
      </c>
      <c r="C25" s="5">
        <f t="shared" ref="C25:F25" si="2">C15/C16</f>
        <v>0.22894248608534323</v>
      </c>
      <c r="D25" s="5">
        <f t="shared" si="2"/>
        <v>0.52990827924551298</v>
      </c>
      <c r="E25" s="5">
        <f t="shared" si="2"/>
        <v>0.76269754768392373</v>
      </c>
      <c r="F25" s="5">
        <f t="shared" si="2"/>
        <v>0.58227781573553372</v>
      </c>
    </row>
    <row r="26" spans="1:6">
      <c r="A26" t="s">
        <v>307</v>
      </c>
      <c r="B26">
        <f>B17</f>
        <v>610</v>
      </c>
      <c r="C26">
        <f t="shared" ref="C26:F26" si="3">C17</f>
        <v>20780</v>
      </c>
      <c r="D26">
        <f t="shared" si="3"/>
        <v>15427</v>
      </c>
      <c r="E26">
        <f t="shared" si="3"/>
        <v>8709</v>
      </c>
      <c r="F26">
        <f t="shared" si="3"/>
        <v>15896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33764-CE11-40D4-B800-DE4CCDD278D0}">
  <dimension ref="A3:F22"/>
  <sheetViews>
    <sheetView topLeftCell="A2" workbookViewId="0">
      <selection activeCell="B8" sqref="B8:F8"/>
    </sheetView>
  </sheetViews>
  <sheetFormatPr defaultRowHeight="15"/>
  <cols>
    <col min="1" max="1" width="32.5703125" bestFit="1" customWidth="1"/>
  </cols>
  <sheetData>
    <row r="3" spans="1:6">
      <c r="A3" s="2" t="s">
        <v>308</v>
      </c>
    </row>
    <row r="5" spans="1:6">
      <c r="A5" s="2" t="s">
        <v>309</v>
      </c>
    </row>
    <row r="7" spans="1:6">
      <c r="A7" s="2" t="s">
        <v>27</v>
      </c>
      <c r="B7" s="2" t="s">
        <v>287</v>
      </c>
      <c r="C7" s="2" t="s">
        <v>288</v>
      </c>
      <c r="D7" s="2" t="s">
        <v>289</v>
      </c>
      <c r="E7" s="2" t="s">
        <v>290</v>
      </c>
      <c r="F7" s="2" t="s">
        <v>291</v>
      </c>
    </row>
    <row r="8" spans="1:6">
      <c r="A8" t="s">
        <v>93</v>
      </c>
      <c r="B8">
        <v>1311095</v>
      </c>
      <c r="C8">
        <v>1274052</v>
      </c>
      <c r="D8">
        <v>1382058</v>
      </c>
      <c r="E8">
        <v>1590447</v>
      </c>
      <c r="F8">
        <v>1665706</v>
      </c>
    </row>
    <row r="9" spans="1:6">
      <c r="A9" t="s">
        <v>310</v>
      </c>
      <c r="B9">
        <v>57281</v>
      </c>
      <c r="C9">
        <v>60705</v>
      </c>
      <c r="D9">
        <v>50886</v>
      </c>
      <c r="E9">
        <v>57432</v>
      </c>
      <c r="F9">
        <v>67840</v>
      </c>
    </row>
    <row r="10" spans="1:6">
      <c r="A10" t="s">
        <v>311</v>
      </c>
      <c r="B10">
        <f>B8-B9</f>
        <v>1253814</v>
      </c>
      <c r="C10">
        <f t="shared" ref="C10:F10" si="0">C8-C9</f>
        <v>1213347</v>
      </c>
      <c r="D10">
        <f t="shared" si="0"/>
        <v>1331172</v>
      </c>
      <c r="E10">
        <f t="shared" si="0"/>
        <v>1533015</v>
      </c>
      <c r="F10">
        <f t="shared" si="0"/>
        <v>1597866</v>
      </c>
    </row>
    <row r="11" spans="1:6">
      <c r="A11" t="s">
        <v>312</v>
      </c>
      <c r="B11">
        <v>49380</v>
      </c>
      <c r="C11">
        <v>50618</v>
      </c>
      <c r="D11">
        <v>47734</v>
      </c>
      <c r="E11">
        <v>51072</v>
      </c>
      <c r="F11">
        <v>54165</v>
      </c>
    </row>
    <row r="12" spans="1:6">
      <c r="A12" t="s">
        <v>313</v>
      </c>
      <c r="B12">
        <v>12555</v>
      </c>
      <c r="C12">
        <v>13660</v>
      </c>
      <c r="D12">
        <v>7080</v>
      </c>
      <c r="E12">
        <v>10949</v>
      </c>
      <c r="F12">
        <v>12555</v>
      </c>
    </row>
    <row r="13" spans="1:6">
      <c r="A13" t="s">
        <v>314</v>
      </c>
      <c r="B13" s="5">
        <v>1.9699999999999999E-2</v>
      </c>
      <c r="C13" s="5">
        <v>1.0999999999999999E-2</v>
      </c>
      <c r="D13" s="5">
        <v>5.5999999999999999E-3</v>
      </c>
      <c r="E13" s="5">
        <v>7.7999999999999996E-3</v>
      </c>
      <c r="F13" s="5">
        <v>8.0999999999999996E-3</v>
      </c>
    </row>
    <row r="15" spans="1:6">
      <c r="A15" s="2" t="s">
        <v>315</v>
      </c>
    </row>
    <row r="17" spans="1:6">
      <c r="A17" s="2" t="s">
        <v>27</v>
      </c>
      <c r="B17" s="2" t="s">
        <v>287</v>
      </c>
      <c r="C17" s="2" t="s">
        <v>288</v>
      </c>
      <c r="D17" s="2" t="s">
        <v>289</v>
      </c>
      <c r="E17" s="2" t="s">
        <v>290</v>
      </c>
      <c r="F17" s="2" t="s">
        <v>291</v>
      </c>
    </row>
    <row r="18" spans="1:6">
      <c r="A18" t="s">
        <v>316</v>
      </c>
      <c r="B18" s="5">
        <f>B9/B8</f>
        <v>4.3689435166788068E-2</v>
      </c>
      <c r="C18" s="5">
        <f t="shared" ref="C18:F18" si="1">C9/C8</f>
        <v>4.7647191794369458E-2</v>
      </c>
      <c r="D18" s="5">
        <f t="shared" si="1"/>
        <v>3.6819004701684012E-2</v>
      </c>
      <c r="E18" s="5">
        <f t="shared" si="1"/>
        <v>3.6110602868250248E-2</v>
      </c>
      <c r="F18" s="5">
        <f t="shared" si="1"/>
        <v>4.0727475316772586E-2</v>
      </c>
    </row>
    <row r="19" spans="1:6">
      <c r="A19" t="s">
        <v>317</v>
      </c>
      <c r="B19" s="5">
        <f>B11/B9</f>
        <v>0.86206595555245191</v>
      </c>
      <c r="C19" s="5">
        <f t="shared" ref="C19:F19" si="2">C11/C9</f>
        <v>0.83383576311671193</v>
      </c>
      <c r="D19" s="5">
        <f t="shared" si="2"/>
        <v>0.93805761899147111</v>
      </c>
      <c r="E19" s="5">
        <f t="shared" si="2"/>
        <v>0.88926034266610954</v>
      </c>
      <c r="F19" s="5">
        <f t="shared" si="2"/>
        <v>0.79842275943396224</v>
      </c>
    </row>
    <row r="20" spans="1:6">
      <c r="A20" t="s">
        <v>318</v>
      </c>
      <c r="B20" s="5">
        <f>(B8-B9)/B8</f>
        <v>0.95631056483321197</v>
      </c>
      <c r="C20" s="5">
        <f t="shared" ref="C20:F20" si="3">(C8-C9)/C8</f>
        <v>0.95235280820563051</v>
      </c>
      <c r="D20" s="5">
        <f t="shared" si="3"/>
        <v>0.96318099529831602</v>
      </c>
      <c r="E20" s="5">
        <f t="shared" si="3"/>
        <v>0.9638893971317497</v>
      </c>
      <c r="F20" s="5">
        <f t="shared" si="3"/>
        <v>0.95927252468322743</v>
      </c>
    </row>
    <row r="21" spans="1:6">
      <c r="A21" t="s">
        <v>319</v>
      </c>
      <c r="B21" s="5">
        <v>1.9699999999999999E-2</v>
      </c>
      <c r="C21" s="5">
        <v>1.0999999999999999E-2</v>
      </c>
      <c r="D21" s="5">
        <v>5.5999999999999999E-3</v>
      </c>
      <c r="E21" s="5">
        <v>7.7999999999999996E-3</v>
      </c>
      <c r="F21" s="5">
        <v>8.0999999999999996E-3</v>
      </c>
    </row>
    <row r="22" spans="1:6">
      <c r="A22" t="s">
        <v>320</v>
      </c>
      <c r="B22" s="5">
        <f>B12/B8</f>
        <v>9.5759651283850514E-3</v>
      </c>
      <c r="C22" s="5">
        <f t="shared" ref="C22:F22" si="4">C12/C8</f>
        <v>1.0721697387547762E-2</v>
      </c>
      <c r="D22" s="5">
        <f t="shared" si="4"/>
        <v>5.1227951359494317E-3</v>
      </c>
      <c r="E22" s="5">
        <f t="shared" si="4"/>
        <v>6.8842281446662478E-3</v>
      </c>
      <c r="F22" s="5">
        <f t="shared" si="4"/>
        <v>7.5373445253844318E-3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8FCE-799F-4BEF-929F-D2A2CC2B46FB}">
  <dimension ref="A3:F22"/>
  <sheetViews>
    <sheetView workbookViewId="0">
      <selection activeCell="B18" sqref="B18:F21"/>
    </sheetView>
  </sheetViews>
  <sheetFormatPr defaultRowHeight="15"/>
  <cols>
    <col min="1" max="1" width="34.5703125" bestFit="1" customWidth="1"/>
    <col min="4" max="4" width="9.5703125" bestFit="1" customWidth="1"/>
  </cols>
  <sheetData>
    <row r="3" spans="1:6">
      <c r="A3" s="2" t="s">
        <v>321</v>
      </c>
    </row>
    <row r="6" spans="1:6">
      <c r="A6" s="2" t="s">
        <v>27</v>
      </c>
      <c r="B6" s="2" t="s">
        <v>287</v>
      </c>
      <c r="C6" s="2" t="s">
        <v>288</v>
      </c>
      <c r="D6" s="2" t="s">
        <v>289</v>
      </c>
      <c r="E6" s="2" t="s">
        <v>290</v>
      </c>
      <c r="F6" s="2" t="s">
        <v>291</v>
      </c>
    </row>
    <row r="7" spans="1:6">
      <c r="A7" t="s">
        <v>93</v>
      </c>
      <c r="B7">
        <v>1311095</v>
      </c>
      <c r="C7">
        <v>1274052</v>
      </c>
      <c r="D7">
        <v>1382058</v>
      </c>
      <c r="E7">
        <v>1590447</v>
      </c>
      <c r="F7">
        <v>1665706</v>
      </c>
    </row>
    <row r="8" spans="1:6">
      <c r="A8" t="s">
        <v>322</v>
      </c>
      <c r="B8">
        <v>1241226</v>
      </c>
      <c r="C8">
        <v>1263451</v>
      </c>
      <c r="D8">
        <v>1412975</v>
      </c>
      <c r="E8">
        <v>1620458</v>
      </c>
      <c r="F8">
        <v>1724773</v>
      </c>
    </row>
    <row r="9" spans="1:6">
      <c r="A9" t="s">
        <v>323</v>
      </c>
      <c r="B9">
        <v>1508940</v>
      </c>
      <c r="C9">
        <v>1525870</v>
      </c>
      <c r="D9">
        <v>1655972</v>
      </c>
      <c r="E9">
        <v>1923103</v>
      </c>
      <c r="F9">
        <v>2003151</v>
      </c>
    </row>
    <row r="10" spans="1:6">
      <c r="A10" t="s">
        <v>324</v>
      </c>
      <c r="B10">
        <v>267714</v>
      </c>
      <c r="C10">
        <v>262419</v>
      </c>
      <c r="D10">
        <v>242997</v>
      </c>
      <c r="E10">
        <v>302645</v>
      </c>
      <c r="F10">
        <v>278378</v>
      </c>
    </row>
    <row r="11" spans="1:6">
      <c r="A11" t="s">
        <v>325</v>
      </c>
      <c r="B11">
        <v>1241226</v>
      </c>
      <c r="C11">
        <v>1263451</v>
      </c>
      <c r="D11">
        <v>1412975</v>
      </c>
      <c r="E11">
        <v>1620458</v>
      </c>
      <c r="F11">
        <v>1724773</v>
      </c>
    </row>
    <row r="12" spans="1:6">
      <c r="A12" t="s">
        <v>326</v>
      </c>
      <c r="B12" s="4">
        <v>1.31</v>
      </c>
      <c r="C12" s="4">
        <v>1.24</v>
      </c>
      <c r="D12" s="4">
        <v>1.21</v>
      </c>
      <c r="E12" s="4">
        <v>1.2</v>
      </c>
      <c r="F12" s="4">
        <v>1.18</v>
      </c>
    </row>
    <row r="13" spans="1:6">
      <c r="A13" t="s">
        <v>327</v>
      </c>
      <c r="B13" s="4">
        <v>1.18</v>
      </c>
      <c r="C13" s="4">
        <v>1.21</v>
      </c>
      <c r="D13" s="4">
        <v>1.22</v>
      </c>
      <c r="E13" s="4">
        <v>1.19</v>
      </c>
      <c r="F13" s="4">
        <v>1.2</v>
      </c>
    </row>
    <row r="15" spans="1:6">
      <c r="A15" s="2" t="s">
        <v>315</v>
      </c>
    </row>
    <row r="17" spans="1:6">
      <c r="A17" s="2" t="s">
        <v>27</v>
      </c>
      <c r="B17" s="2" t="s">
        <v>287</v>
      </c>
      <c r="C17" s="2" t="s">
        <v>288</v>
      </c>
      <c r="D17" s="2" t="s">
        <v>289</v>
      </c>
      <c r="E17" s="2" t="s">
        <v>290</v>
      </c>
      <c r="F17" s="2" t="s">
        <v>291</v>
      </c>
    </row>
    <row r="18" spans="1:6">
      <c r="A18" t="s">
        <v>328</v>
      </c>
      <c r="B18" s="5">
        <f>B7/B8</f>
        <v>1.0562903129647623</v>
      </c>
      <c r="C18" s="5">
        <f t="shared" ref="C18:F18" si="0">C7/C8</f>
        <v>1.0083905113850873</v>
      </c>
      <c r="D18" s="5">
        <f t="shared" si="0"/>
        <v>0.97811921654664802</v>
      </c>
      <c r="E18" s="5">
        <f t="shared" si="0"/>
        <v>0.98147992727981848</v>
      </c>
      <c r="F18" s="5">
        <f t="shared" si="0"/>
        <v>0.96575375426215504</v>
      </c>
    </row>
    <row r="19" spans="1:6">
      <c r="A19" t="s">
        <v>329</v>
      </c>
      <c r="B19" s="5"/>
      <c r="C19" s="5">
        <f>(C8-B8)/B8</f>
        <v>1.7905683574143631E-2</v>
      </c>
      <c r="D19" s="5">
        <f t="shared" ref="D19:F19" si="1">(D8-C8)/C8</f>
        <v>0.1183457055319122</v>
      </c>
      <c r="E19" s="5">
        <f t="shared" si="1"/>
        <v>0.14684123922928571</v>
      </c>
      <c r="F19" s="5">
        <f t="shared" si="1"/>
        <v>6.4373775809061395E-2</v>
      </c>
    </row>
    <row r="20" spans="1:6">
      <c r="A20" t="s">
        <v>330</v>
      </c>
      <c r="B20" s="5"/>
      <c r="C20" s="5">
        <f>(C7-B7)/B7</f>
        <v>-2.8253482775847671E-2</v>
      </c>
      <c r="D20" s="5">
        <f t="shared" ref="D20:F20" si="2">(D7-C7)/C7</f>
        <v>8.4773619915042717E-2</v>
      </c>
      <c r="E20" s="5">
        <f t="shared" si="2"/>
        <v>0.15078166039341331</v>
      </c>
      <c r="F20" s="5">
        <f t="shared" si="2"/>
        <v>4.7319401400989787E-2</v>
      </c>
    </row>
    <row r="21" spans="1:6">
      <c r="A21" t="s">
        <v>331</v>
      </c>
      <c r="B21" s="5">
        <f>B10/B9</f>
        <v>0.17741858523201717</v>
      </c>
      <c r="C21" s="5">
        <f t="shared" ref="C21:F21" si="3">C10/C9</f>
        <v>0.17197991965239504</v>
      </c>
      <c r="D21" s="5">
        <f t="shared" si="3"/>
        <v>0.1467397999483083</v>
      </c>
      <c r="E21" s="5">
        <f t="shared" si="3"/>
        <v>0.15737326601851279</v>
      </c>
      <c r="F21" s="5">
        <f t="shared" si="3"/>
        <v>0.13897005268199952</v>
      </c>
    </row>
    <row r="22" spans="1:6">
      <c r="A22" t="s">
        <v>332</v>
      </c>
      <c r="B22" s="4">
        <v>0.31</v>
      </c>
      <c r="C22" s="4">
        <v>0.24</v>
      </c>
      <c r="D22" s="4">
        <v>0.21</v>
      </c>
      <c r="E22" s="4">
        <v>0.2</v>
      </c>
      <c r="F22" s="4">
        <v>0.18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6864-1BCD-4A1F-A3D3-9286B25E72B9}">
  <dimension ref="A3:D16"/>
  <sheetViews>
    <sheetView workbookViewId="0">
      <selection activeCell="D22" sqref="D22"/>
    </sheetView>
  </sheetViews>
  <sheetFormatPr defaultRowHeight="15"/>
  <cols>
    <col min="1" max="1" width="17.7109375" bestFit="1" customWidth="1"/>
    <col min="4" max="4" width="11.140625" bestFit="1" customWidth="1"/>
  </cols>
  <sheetData>
    <row r="3" spans="1:4">
      <c r="A3" s="2" t="s">
        <v>333</v>
      </c>
    </row>
    <row r="5" spans="1:4">
      <c r="A5" s="2" t="s">
        <v>334</v>
      </c>
      <c r="B5" s="2" t="s">
        <v>159</v>
      </c>
      <c r="C5" s="2" t="s">
        <v>335</v>
      </c>
      <c r="D5" s="2" t="s">
        <v>336</v>
      </c>
    </row>
    <row r="6" spans="1:4">
      <c r="A6" t="s">
        <v>99</v>
      </c>
      <c r="B6" s="5">
        <v>8.0999999999999996E-3</v>
      </c>
      <c r="C6" s="5">
        <v>1.2E-2</v>
      </c>
      <c r="D6" s="5">
        <v>1.7999999999999999E-2</v>
      </c>
    </row>
    <row r="7" spans="1:4">
      <c r="A7" t="s">
        <v>337</v>
      </c>
      <c r="B7" s="16" t="s">
        <v>338</v>
      </c>
      <c r="C7" s="16" t="s">
        <v>339</v>
      </c>
      <c r="D7" s="16" t="s">
        <v>340</v>
      </c>
    </row>
    <row r="8" spans="1:4">
      <c r="A8" t="s">
        <v>341</v>
      </c>
      <c r="B8" s="4">
        <v>0</v>
      </c>
      <c r="C8" s="4">
        <v>0.03</v>
      </c>
      <c r="D8" s="4">
        <v>0.06</v>
      </c>
    </row>
    <row r="9" spans="1:4">
      <c r="A9" t="s">
        <v>342</v>
      </c>
      <c r="B9" s="4">
        <v>0.05</v>
      </c>
      <c r="C9" s="4">
        <v>7.0000000000000007E-2</v>
      </c>
      <c r="D9" s="4">
        <v>0.1</v>
      </c>
    </row>
    <row r="11" spans="1:4">
      <c r="A11" s="2" t="s">
        <v>343</v>
      </c>
    </row>
    <row r="13" spans="1:4">
      <c r="A13" s="2" t="s">
        <v>344</v>
      </c>
      <c r="B13" s="2" t="s">
        <v>345</v>
      </c>
      <c r="C13" s="2" t="s">
        <v>69</v>
      </c>
      <c r="D13" s="2" t="s">
        <v>346</v>
      </c>
    </row>
    <row r="14" spans="1:4">
      <c r="A14" t="s">
        <v>159</v>
      </c>
      <c r="B14">
        <v>38054</v>
      </c>
      <c r="C14" s="5">
        <v>0.17899999999999999</v>
      </c>
      <c r="D14" s="5">
        <v>4.4999999999999998E-2</v>
      </c>
    </row>
    <row r="15" spans="1:4">
      <c r="A15" t="s">
        <v>335</v>
      </c>
      <c r="B15">
        <v>31557</v>
      </c>
      <c r="C15" s="5">
        <v>0.14799999999999999</v>
      </c>
      <c r="D15" s="5">
        <v>3.5999999999999997E-2</v>
      </c>
    </row>
    <row r="16" spans="1:4">
      <c r="A16" t="s">
        <v>336</v>
      </c>
      <c r="B16">
        <v>21562</v>
      </c>
      <c r="C16" s="5">
        <v>0.10100000000000001</v>
      </c>
      <c r="D16" s="5">
        <v>3.3000000000000002E-2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E7A4E-AC26-4204-8D7C-97E8DF0912F3}">
  <dimension ref="A3:C77"/>
  <sheetViews>
    <sheetView tabSelected="1" workbookViewId="0">
      <selection activeCell="F17" sqref="F17"/>
    </sheetView>
  </sheetViews>
  <sheetFormatPr defaultRowHeight="15"/>
  <cols>
    <col min="1" max="1" width="64.28515625" customWidth="1"/>
    <col min="3" max="3" width="11.140625" bestFit="1" customWidth="1"/>
  </cols>
  <sheetData>
    <row r="3" spans="1:1" ht="60">
      <c r="A3" s="19" t="s">
        <v>347</v>
      </c>
    </row>
    <row r="6" spans="1:1" ht="21">
      <c r="A6" s="18" t="s">
        <v>348</v>
      </c>
    </row>
    <row r="8" spans="1:1">
      <c r="A8" s="2" t="s">
        <v>349</v>
      </c>
    </row>
    <row r="10" spans="1:1">
      <c r="A10" t="s">
        <v>350</v>
      </c>
    </row>
    <row r="11" spans="1:1">
      <c r="A11" t="s">
        <v>351</v>
      </c>
    </row>
    <row r="12" spans="1:1">
      <c r="A12" t="s">
        <v>352</v>
      </c>
    </row>
    <row r="13" spans="1:1">
      <c r="A13" t="s">
        <v>353</v>
      </c>
    </row>
    <row r="14" spans="1:1">
      <c r="A14" t="s">
        <v>354</v>
      </c>
    </row>
    <row r="16" spans="1:1">
      <c r="A16" s="2" t="s">
        <v>355</v>
      </c>
    </row>
    <row r="17" spans="1:1" ht="29.25">
      <c r="A17" s="3" t="s">
        <v>356</v>
      </c>
    </row>
    <row r="18" spans="1:1" ht="29.25">
      <c r="A18" s="3" t="s">
        <v>357</v>
      </c>
    </row>
    <row r="19" spans="1:1">
      <c r="A19" s="3" t="s">
        <v>358</v>
      </c>
    </row>
    <row r="22" spans="1:1" ht="21">
      <c r="A22" s="18" t="s">
        <v>359</v>
      </c>
    </row>
    <row r="25" spans="1:1">
      <c r="A25" s="2" t="s">
        <v>360</v>
      </c>
    </row>
    <row r="26" spans="1:1">
      <c r="A26" t="s">
        <v>361</v>
      </c>
    </row>
    <row r="27" spans="1:1">
      <c r="A27" t="s">
        <v>362</v>
      </c>
    </row>
    <row r="28" spans="1:1">
      <c r="A28" t="s">
        <v>363</v>
      </c>
    </row>
    <row r="29" spans="1:1">
      <c r="A29" t="s">
        <v>364</v>
      </c>
    </row>
    <row r="31" spans="1:1">
      <c r="A31" s="2" t="s">
        <v>355</v>
      </c>
    </row>
    <row r="32" spans="1:1">
      <c r="A32" t="s">
        <v>365</v>
      </c>
    </row>
    <row r="33" spans="1:1">
      <c r="A33" t="s">
        <v>366</v>
      </c>
    </row>
    <row r="34" spans="1:1">
      <c r="A34" t="s">
        <v>367</v>
      </c>
    </row>
    <row r="37" spans="1:1" ht="24">
      <c r="A37" s="17" t="s">
        <v>368</v>
      </c>
    </row>
    <row r="39" spans="1:1">
      <c r="A39" s="2" t="s">
        <v>369</v>
      </c>
    </row>
    <row r="40" spans="1:1">
      <c r="A40" t="s">
        <v>370</v>
      </c>
    </row>
    <row r="41" spans="1:1">
      <c r="A41" t="s">
        <v>371</v>
      </c>
    </row>
    <row r="42" spans="1:1">
      <c r="A42" t="s">
        <v>372</v>
      </c>
    </row>
    <row r="43" spans="1:1">
      <c r="A43" t="s">
        <v>373</v>
      </c>
    </row>
    <row r="45" spans="1:1">
      <c r="A45" s="2" t="s">
        <v>355</v>
      </c>
    </row>
    <row r="46" spans="1:1">
      <c r="A46" t="s">
        <v>374</v>
      </c>
    </row>
    <row r="47" spans="1:1">
      <c r="A47" t="s">
        <v>375</v>
      </c>
    </row>
    <row r="48" spans="1:1">
      <c r="A48" t="s">
        <v>376</v>
      </c>
    </row>
    <row r="51" spans="1:3" ht="21">
      <c r="A51" s="18" t="s">
        <v>377</v>
      </c>
    </row>
    <row r="54" spans="1:3">
      <c r="A54" s="2" t="s">
        <v>344</v>
      </c>
      <c r="B54" s="2" t="s">
        <v>69</v>
      </c>
      <c r="C54" s="2" t="s">
        <v>378</v>
      </c>
    </row>
    <row r="55" spans="1:3">
      <c r="A55" t="s">
        <v>159</v>
      </c>
      <c r="B55" t="s">
        <v>379</v>
      </c>
      <c r="C55" t="s">
        <v>380</v>
      </c>
    </row>
    <row r="56" spans="1:3">
      <c r="A56" t="s">
        <v>335</v>
      </c>
      <c r="B56" t="s">
        <v>381</v>
      </c>
      <c r="C56" t="s">
        <v>382</v>
      </c>
    </row>
    <row r="57" spans="1:3">
      <c r="A57" t="s">
        <v>336</v>
      </c>
      <c r="B57" t="s">
        <v>383</v>
      </c>
      <c r="C57" t="s">
        <v>384</v>
      </c>
    </row>
    <row r="59" spans="1:3">
      <c r="A59" s="2" t="s">
        <v>229</v>
      </c>
    </row>
    <row r="60" spans="1:3">
      <c r="A60" t="s">
        <v>385</v>
      </c>
    </row>
    <row r="62" spans="1:3">
      <c r="A62" t="s">
        <v>386</v>
      </c>
    </row>
    <row r="63" spans="1:3">
      <c r="A63" t="s">
        <v>387</v>
      </c>
    </row>
    <row r="64" spans="1:3">
      <c r="A64" t="s">
        <v>388</v>
      </c>
    </row>
    <row r="66" spans="1:1">
      <c r="A66" t="s">
        <v>389</v>
      </c>
    </row>
    <row r="69" spans="1:1" ht="21">
      <c r="A69" s="18" t="s">
        <v>390</v>
      </c>
    </row>
    <row r="70" spans="1:1">
      <c r="A70" s="2"/>
    </row>
    <row r="71" spans="1:1">
      <c r="A71" t="s">
        <v>391</v>
      </c>
    </row>
    <row r="72" spans="1:1">
      <c r="A72" t="s">
        <v>392</v>
      </c>
    </row>
    <row r="73" spans="1:1">
      <c r="A73" t="s">
        <v>393</v>
      </c>
    </row>
    <row r="74" spans="1:1">
      <c r="A74" t="s">
        <v>394</v>
      </c>
    </row>
    <row r="75" spans="1:1">
      <c r="A75" t="s">
        <v>395</v>
      </c>
    </row>
    <row r="77" spans="1:1" ht="29.25">
      <c r="A77" s="3" t="s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2026-02-13T17:18:28Z</dcterms:created>
  <dcterms:modified xsi:type="dcterms:W3CDTF">2026-02-21T17:47:55Z</dcterms:modified>
  <cp:category/>
  <cp:contentStatus/>
</cp:coreProperties>
</file>