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 defaultThemeVersion="166925"/>
  <xr:revisionPtr revIDLastSave="0" documentId="8_{E6D93B83-9D64-479E-B60B-702663D69307}" xr6:coauthVersionLast="47" xr6:coauthVersionMax="47" xr10:uidLastSave="{00000000-0000-0000-0000-000000000000}"/>
  <bookViews>
    <workbookView xWindow="240" yWindow="105" windowWidth="14805" windowHeight="8010" firstSheet="6" activeTab="6" xr2:uid="{00000000-000D-0000-FFFF-FFFF00000000}"/>
  </bookViews>
  <sheets>
    <sheet name="README" sheetId="1" r:id="rId1"/>
    <sheet name="tbl_price_history" sheetId="2" r:id="rId2"/>
    <sheet name="tbl_tencent_market" sheetId="3" r:id="rId3"/>
    <sheet name="tbl_fx_rates" sheetId="4" r:id="rId4"/>
    <sheet name="calc_lookthrough_nav" sheetId="8" r:id="rId5"/>
    <sheet name="tbl_shares_outstanding" sheetId="5" r:id="rId6"/>
    <sheet name="tbl_nav_components" sheetId="6" r:id="rId7"/>
    <sheet name="assumptions_core" sheetId="7" r:id="rId8"/>
    <sheet name="Valuation_Dashboard" sheetId="9" r:id="rId9"/>
    <sheet name="model_overview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9" l="1"/>
  <c r="H3" i="9"/>
  <c r="E15" i="9"/>
  <c r="E16" i="9"/>
  <c r="E17" i="9"/>
  <c r="E18" i="9"/>
  <c r="E19" i="9"/>
  <c r="E20" i="9"/>
  <c r="E21" i="9"/>
  <c r="E22" i="9"/>
  <c r="E14" i="9"/>
  <c r="G8" i="9"/>
  <c r="F8" i="9"/>
  <c r="E8" i="9" a="1"/>
  <c r="E8" i="9"/>
  <c r="F7" i="9"/>
  <c r="G7" i="9"/>
  <c r="E7" i="9"/>
  <c r="F6" i="9"/>
  <c r="G6" i="9"/>
  <c r="E6" i="9"/>
  <c r="G5" i="9"/>
  <c r="F5" i="9"/>
  <c r="E5" i="9"/>
  <c r="B8" i="9"/>
  <c r="B4" i="9"/>
  <c r="B3" i="9"/>
  <c r="B2" i="9" a="1"/>
  <c r="B2" i="9"/>
  <c r="E6" i="7"/>
  <c r="B5" i="9" s="1"/>
  <c r="E7" i="7"/>
  <c r="E8" i="7"/>
  <c r="E9" i="7"/>
  <c r="L6" i="8"/>
  <c r="M6" i="8" s="1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6" i="8"/>
  <c r="A7" i="2"/>
  <c r="A6" i="4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6" i="3"/>
  <c r="A6" i="3"/>
  <c r="D6" i="2"/>
  <c r="D7" i="2"/>
  <c r="A8" i="2"/>
  <c r="D8" i="2"/>
  <c r="A9" i="2"/>
  <c r="D9" i="2"/>
  <c r="A10" i="2"/>
  <c r="D10" i="2"/>
  <c r="A11" i="2"/>
  <c r="D11" i="2"/>
  <c r="A12" i="2"/>
  <c r="D12" i="2"/>
  <c r="A13" i="2"/>
  <c r="D13" i="2"/>
  <c r="A14" i="2"/>
  <c r="D14" i="2"/>
  <c r="A15" i="2"/>
  <c r="D15" i="2"/>
  <c r="A16" i="2"/>
  <c r="D16" i="2"/>
  <c r="A17" i="2"/>
  <c r="D17" i="2"/>
  <c r="A18" i="2"/>
  <c r="D18" i="2"/>
  <c r="A19" i="2"/>
  <c r="D19" i="2"/>
  <c r="A20" i="2"/>
  <c r="D20" i="2"/>
  <c r="A21" i="2"/>
  <c r="D21" i="2"/>
  <c r="A22" i="2"/>
  <c r="D22" i="2"/>
  <c r="A23" i="2"/>
  <c r="D23" i="2"/>
  <c r="A24" i="2"/>
  <c r="D24" i="2"/>
  <c r="A25" i="2"/>
  <c r="D25" i="2"/>
  <c r="A26" i="2"/>
  <c r="D26" i="2"/>
  <c r="A27" i="2"/>
  <c r="D27" i="2"/>
  <c r="A28" i="2"/>
  <c r="D28" i="2"/>
  <c r="A29" i="2"/>
  <c r="D29" i="2"/>
  <c r="A30" i="2"/>
  <c r="D30" i="2"/>
  <c r="A31" i="2"/>
  <c r="D31" i="2"/>
  <c r="A32" i="2"/>
  <c r="D32" i="2"/>
  <c r="A33" i="2"/>
  <c r="D33" i="2"/>
  <c r="A34" i="2"/>
  <c r="D34" i="2"/>
  <c r="A35" i="2"/>
  <c r="D35" i="2"/>
  <c r="A36" i="2"/>
  <c r="D36" i="2"/>
  <c r="A37" i="2"/>
  <c r="D37" i="2"/>
  <c r="A38" i="2"/>
  <c r="D38" i="2"/>
  <c r="A39" i="2"/>
  <c r="D39" i="2"/>
  <c r="A40" i="2"/>
  <c r="D40" i="2"/>
  <c r="A41" i="2"/>
  <c r="D41" i="2"/>
  <c r="A42" i="2"/>
  <c r="D42" i="2"/>
  <c r="A43" i="2"/>
  <c r="D43" i="2"/>
  <c r="A44" i="2"/>
  <c r="D44" i="2"/>
  <c r="A45" i="2"/>
  <c r="D45" i="2"/>
  <c r="A46" i="2"/>
  <c r="D46" i="2"/>
  <c r="A47" i="2"/>
  <c r="D47" i="2"/>
  <c r="A48" i="2"/>
  <c r="D48" i="2"/>
  <c r="A49" i="2"/>
  <c r="D49" i="2"/>
  <c r="A50" i="2"/>
  <c r="D50" i="2"/>
  <c r="A51" i="2"/>
  <c r="D51" i="2"/>
  <c r="A52" i="2"/>
  <c r="D52" i="2"/>
  <c r="A53" i="2"/>
  <c r="D53" i="2"/>
  <c r="A54" i="2"/>
  <c r="D54" i="2"/>
  <c r="A55" i="2"/>
  <c r="D55" i="2"/>
  <c r="A56" i="2"/>
  <c r="D56" i="2"/>
  <c r="A57" i="2"/>
  <c r="D57" i="2"/>
  <c r="A58" i="2"/>
  <c r="D58" i="2"/>
  <c r="A59" i="2"/>
  <c r="D59" i="2"/>
  <c r="A60" i="2"/>
  <c r="D60" i="2"/>
  <c r="A61" i="2"/>
  <c r="D61" i="2"/>
  <c r="A62" i="2"/>
  <c r="D62" i="2"/>
  <c r="A63" i="2"/>
  <c r="D63" i="2"/>
  <c r="A64" i="2"/>
  <c r="D64" i="2"/>
  <c r="A65" i="2"/>
  <c r="D65" i="2"/>
  <c r="A66" i="2"/>
  <c r="D66" i="2"/>
  <c r="A67" i="2"/>
  <c r="D67" i="2"/>
  <c r="A68" i="2"/>
  <c r="D68" i="2"/>
  <c r="A69" i="2"/>
  <c r="D69" i="2"/>
  <c r="A70" i="2"/>
  <c r="D70" i="2"/>
  <c r="A71" i="2"/>
  <c r="D71" i="2"/>
  <c r="A72" i="2"/>
  <c r="D72" i="2"/>
  <c r="A73" i="2"/>
  <c r="D73" i="2"/>
  <c r="A74" i="2"/>
  <c r="D74" i="2"/>
  <c r="A75" i="2"/>
  <c r="D75" i="2"/>
  <c r="A76" i="2"/>
  <c r="D76" i="2"/>
  <c r="A77" i="2"/>
  <c r="D77" i="2"/>
  <c r="A78" i="2"/>
  <c r="D78" i="2"/>
  <c r="A79" i="2"/>
  <c r="D79" i="2"/>
  <c r="A80" i="2"/>
  <c r="D80" i="2"/>
  <c r="A81" i="2"/>
  <c r="D81" i="2"/>
  <c r="A82" i="2"/>
  <c r="D82" i="2"/>
  <c r="A83" i="2"/>
  <c r="D83" i="2"/>
  <c r="A84" i="2"/>
  <c r="D84" i="2"/>
  <c r="A85" i="2"/>
  <c r="D85" i="2"/>
  <c r="A86" i="2"/>
  <c r="D86" i="2"/>
  <c r="A87" i="2"/>
  <c r="D87" i="2"/>
  <c r="A88" i="2"/>
  <c r="D88" i="2"/>
  <c r="A89" i="2"/>
  <c r="D89" i="2"/>
  <c r="B9" i="9" l="1"/>
  <c r="B6" i="9"/>
  <c r="B7" i="9" s="1"/>
  <c r="M89" i="8"/>
  <c r="N89" i="8"/>
  <c r="M88" i="8"/>
  <c r="N88" i="8"/>
  <c r="M87" i="8"/>
  <c r="N87" i="8"/>
  <c r="M86" i="8"/>
  <c r="N86" i="8"/>
  <c r="M85" i="8"/>
  <c r="N85" i="8"/>
  <c r="M84" i="8"/>
  <c r="N84" i="8"/>
  <c r="M83" i="8"/>
  <c r="N83" i="8"/>
  <c r="M82" i="8"/>
  <c r="N82" i="8"/>
  <c r="M81" i="8"/>
  <c r="N81" i="8"/>
  <c r="M80" i="8"/>
  <c r="N80" i="8"/>
  <c r="M79" i="8"/>
  <c r="N79" i="8"/>
  <c r="M78" i="8"/>
  <c r="N78" i="8"/>
  <c r="M77" i="8"/>
  <c r="N77" i="8"/>
  <c r="M76" i="8"/>
  <c r="N76" i="8"/>
  <c r="M75" i="8"/>
  <c r="N75" i="8"/>
  <c r="M74" i="8"/>
  <c r="N74" i="8"/>
  <c r="M73" i="8"/>
  <c r="N73" i="8"/>
  <c r="M72" i="8"/>
  <c r="N72" i="8"/>
  <c r="M71" i="8"/>
  <c r="N71" i="8"/>
  <c r="M70" i="8"/>
  <c r="N70" i="8"/>
  <c r="M69" i="8"/>
  <c r="N69" i="8"/>
  <c r="M68" i="8"/>
  <c r="N68" i="8"/>
  <c r="M67" i="8"/>
  <c r="N67" i="8"/>
  <c r="M66" i="8"/>
  <c r="N66" i="8"/>
  <c r="M65" i="8"/>
  <c r="N65" i="8"/>
  <c r="M64" i="8"/>
  <c r="N64" i="8"/>
  <c r="M63" i="8"/>
  <c r="N63" i="8"/>
  <c r="M62" i="8"/>
  <c r="N62" i="8"/>
  <c r="M61" i="8"/>
  <c r="N61" i="8"/>
  <c r="M60" i="8"/>
  <c r="N60" i="8"/>
  <c r="M59" i="8"/>
  <c r="N59" i="8"/>
  <c r="M58" i="8"/>
  <c r="N58" i="8"/>
  <c r="M57" i="8"/>
  <c r="N57" i="8"/>
  <c r="M56" i="8"/>
  <c r="N56" i="8"/>
  <c r="M55" i="8"/>
  <c r="N55" i="8"/>
  <c r="M54" i="8"/>
  <c r="N54" i="8"/>
  <c r="M53" i="8"/>
  <c r="N53" i="8"/>
  <c r="M52" i="8"/>
  <c r="N52" i="8"/>
  <c r="M51" i="8"/>
  <c r="N51" i="8"/>
  <c r="M50" i="8"/>
  <c r="N50" i="8"/>
  <c r="M49" i="8"/>
  <c r="N49" i="8"/>
  <c r="M48" i="8"/>
  <c r="N48" i="8"/>
  <c r="M47" i="8"/>
  <c r="N47" i="8"/>
  <c r="M46" i="8"/>
  <c r="N46" i="8"/>
  <c r="M45" i="8"/>
  <c r="N45" i="8"/>
  <c r="M44" i="8"/>
  <c r="N44" i="8"/>
  <c r="M43" i="8"/>
  <c r="N43" i="8"/>
  <c r="M42" i="8"/>
  <c r="N42" i="8"/>
  <c r="M41" i="8"/>
  <c r="N41" i="8"/>
  <c r="M40" i="8"/>
  <c r="N40" i="8"/>
  <c r="M39" i="8"/>
  <c r="N39" i="8"/>
  <c r="M38" i="8"/>
  <c r="N38" i="8"/>
  <c r="M37" i="8"/>
  <c r="N37" i="8"/>
  <c r="M36" i="8"/>
  <c r="N36" i="8"/>
  <c r="M35" i="8"/>
  <c r="N35" i="8"/>
  <c r="M34" i="8"/>
  <c r="N34" i="8"/>
  <c r="M33" i="8"/>
  <c r="N33" i="8"/>
  <c r="M32" i="8"/>
  <c r="N32" i="8"/>
  <c r="M31" i="8"/>
  <c r="N31" i="8"/>
  <c r="M30" i="8"/>
  <c r="N30" i="8"/>
  <c r="M29" i="8"/>
  <c r="N29" i="8"/>
  <c r="M28" i="8"/>
  <c r="N28" i="8"/>
  <c r="M27" i="8"/>
  <c r="N27" i="8"/>
  <c r="M26" i="8"/>
  <c r="N26" i="8"/>
  <c r="M25" i="8"/>
  <c r="N25" i="8"/>
  <c r="M24" i="8"/>
  <c r="N24" i="8"/>
  <c r="M23" i="8"/>
  <c r="N23" i="8"/>
  <c r="M22" i="8"/>
  <c r="N22" i="8"/>
  <c r="M21" i="8"/>
  <c r="N21" i="8"/>
  <c r="M20" i="8"/>
  <c r="N20" i="8"/>
  <c r="M19" i="8"/>
  <c r="N19" i="8"/>
  <c r="M18" i="8"/>
  <c r="N18" i="8"/>
  <c r="M17" i="8"/>
  <c r="N17" i="8"/>
  <c r="M16" i="8"/>
  <c r="N16" i="8"/>
  <c r="M15" i="8"/>
  <c r="N15" i="8"/>
  <c r="M14" i="8"/>
  <c r="N14" i="8"/>
  <c r="M13" i="8"/>
  <c r="N13" i="8"/>
  <c r="M12" i="8"/>
  <c r="N12" i="8"/>
  <c r="M11" i="8"/>
  <c r="N11" i="8"/>
  <c r="M10" i="8"/>
  <c r="N10" i="8"/>
  <c r="M9" i="8"/>
  <c r="N9" i="8"/>
  <c r="M8" i="8"/>
  <c r="N8" i="8"/>
  <c r="M7" i="8"/>
  <c r="N7" i="8"/>
  <c r="N6" i="8"/>
  <c r="C6" i="8"/>
  <c r="D6" i="8"/>
  <c r="B6" i="8"/>
  <c r="E6" i="8" s="1"/>
  <c r="C89" i="8"/>
  <c r="D89" i="8"/>
  <c r="B89" i="8"/>
  <c r="E89" i="8" s="1"/>
  <c r="C88" i="8"/>
  <c r="D88" i="8"/>
  <c r="B88" i="8"/>
  <c r="E88" i="8" s="1"/>
  <c r="C87" i="8"/>
  <c r="D87" i="8"/>
  <c r="B87" i="8"/>
  <c r="E87" i="8" s="1"/>
  <c r="C86" i="8"/>
  <c r="D86" i="8"/>
  <c r="B86" i="8"/>
  <c r="E86" i="8" s="1"/>
  <c r="C85" i="8"/>
  <c r="D85" i="8"/>
  <c r="B85" i="8"/>
  <c r="E85" i="8" s="1"/>
  <c r="C84" i="8"/>
  <c r="D84" i="8"/>
  <c r="B84" i="8"/>
  <c r="E84" i="8" s="1"/>
  <c r="C83" i="8"/>
  <c r="D83" i="8"/>
  <c r="B83" i="8"/>
  <c r="E83" i="8" s="1"/>
  <c r="C82" i="8"/>
  <c r="D82" i="8"/>
  <c r="B82" i="8"/>
  <c r="E82" i="8" s="1"/>
  <c r="C81" i="8"/>
  <c r="D81" i="8"/>
  <c r="B81" i="8"/>
  <c r="E81" i="8" s="1"/>
  <c r="C80" i="8"/>
  <c r="D80" i="8"/>
  <c r="B80" i="8"/>
  <c r="E80" i="8" s="1"/>
  <c r="C79" i="8"/>
  <c r="D79" i="8"/>
  <c r="B79" i="8"/>
  <c r="E79" i="8" s="1"/>
  <c r="C78" i="8"/>
  <c r="D78" i="8"/>
  <c r="B78" i="8"/>
  <c r="E78" i="8" s="1"/>
  <c r="C77" i="8"/>
  <c r="D77" i="8"/>
  <c r="B77" i="8"/>
  <c r="E77" i="8" s="1"/>
  <c r="C76" i="8"/>
  <c r="D76" i="8"/>
  <c r="B76" i="8"/>
  <c r="E76" i="8" s="1"/>
  <c r="C75" i="8"/>
  <c r="D75" i="8"/>
  <c r="B75" i="8"/>
  <c r="E75" i="8" s="1"/>
  <c r="C74" i="8"/>
  <c r="D74" i="8"/>
  <c r="B74" i="8"/>
  <c r="E74" i="8" s="1"/>
  <c r="C73" i="8"/>
  <c r="D73" i="8"/>
  <c r="B73" i="8"/>
  <c r="E73" i="8" s="1"/>
  <c r="C72" i="8"/>
  <c r="D72" i="8"/>
  <c r="B72" i="8"/>
  <c r="E72" i="8" s="1"/>
  <c r="C71" i="8"/>
  <c r="D71" i="8"/>
  <c r="B71" i="8"/>
  <c r="E71" i="8" s="1"/>
  <c r="C70" i="8"/>
  <c r="D70" i="8"/>
  <c r="B70" i="8"/>
  <c r="E70" i="8" s="1"/>
  <c r="C69" i="8"/>
  <c r="D69" i="8"/>
  <c r="B69" i="8"/>
  <c r="E69" i="8" s="1"/>
  <c r="C68" i="8"/>
  <c r="D68" i="8"/>
  <c r="B68" i="8"/>
  <c r="E68" i="8" s="1"/>
  <c r="C67" i="8"/>
  <c r="D67" i="8"/>
  <c r="B67" i="8"/>
  <c r="E67" i="8" s="1"/>
  <c r="C66" i="8"/>
  <c r="D66" i="8"/>
  <c r="B66" i="8"/>
  <c r="E66" i="8" s="1"/>
  <c r="C65" i="8"/>
  <c r="D65" i="8"/>
  <c r="B65" i="8"/>
  <c r="E65" i="8" s="1"/>
  <c r="C64" i="8"/>
  <c r="D64" i="8"/>
  <c r="B64" i="8"/>
  <c r="E64" i="8" s="1"/>
  <c r="C63" i="8"/>
  <c r="D63" i="8"/>
  <c r="B63" i="8"/>
  <c r="E63" i="8" s="1"/>
  <c r="C62" i="8"/>
  <c r="D62" i="8"/>
  <c r="B62" i="8"/>
  <c r="E62" i="8" s="1"/>
  <c r="C61" i="8"/>
  <c r="D61" i="8"/>
  <c r="B61" i="8"/>
  <c r="E61" i="8" s="1"/>
  <c r="C60" i="8"/>
  <c r="D60" i="8"/>
  <c r="B60" i="8"/>
  <c r="E60" i="8" s="1"/>
  <c r="C59" i="8"/>
  <c r="D59" i="8"/>
  <c r="B59" i="8"/>
  <c r="E59" i="8" s="1"/>
  <c r="C58" i="8"/>
  <c r="D58" i="8"/>
  <c r="B58" i="8"/>
  <c r="E58" i="8" s="1"/>
  <c r="C57" i="8"/>
  <c r="D57" i="8"/>
  <c r="B57" i="8"/>
  <c r="E57" i="8" s="1"/>
  <c r="C56" i="8"/>
  <c r="D56" i="8"/>
  <c r="B56" i="8"/>
  <c r="E56" i="8" s="1"/>
  <c r="C55" i="8"/>
  <c r="D55" i="8"/>
  <c r="B55" i="8"/>
  <c r="E55" i="8" s="1"/>
  <c r="C54" i="8"/>
  <c r="D54" i="8"/>
  <c r="B54" i="8"/>
  <c r="E54" i="8" s="1"/>
  <c r="C53" i="8"/>
  <c r="D53" i="8"/>
  <c r="B53" i="8"/>
  <c r="E53" i="8" s="1"/>
  <c r="C52" i="8"/>
  <c r="D52" i="8"/>
  <c r="B52" i="8"/>
  <c r="E52" i="8" s="1"/>
  <c r="C51" i="8"/>
  <c r="D51" i="8"/>
  <c r="B51" i="8"/>
  <c r="E51" i="8" s="1"/>
  <c r="C50" i="8"/>
  <c r="D50" i="8"/>
  <c r="B50" i="8"/>
  <c r="E50" i="8" s="1"/>
  <c r="C49" i="8"/>
  <c r="D49" i="8"/>
  <c r="B49" i="8"/>
  <c r="E49" i="8" s="1"/>
  <c r="C48" i="8"/>
  <c r="D48" i="8"/>
  <c r="B48" i="8"/>
  <c r="E48" i="8" s="1"/>
  <c r="C47" i="8"/>
  <c r="D47" i="8"/>
  <c r="B47" i="8"/>
  <c r="E47" i="8" s="1"/>
  <c r="C46" i="8"/>
  <c r="D46" i="8"/>
  <c r="B46" i="8"/>
  <c r="E46" i="8" s="1"/>
  <c r="C45" i="8"/>
  <c r="D45" i="8"/>
  <c r="B45" i="8"/>
  <c r="E45" i="8" s="1"/>
  <c r="C44" i="8"/>
  <c r="D44" i="8"/>
  <c r="B44" i="8"/>
  <c r="E44" i="8" s="1"/>
  <c r="C43" i="8"/>
  <c r="D43" i="8"/>
  <c r="B43" i="8"/>
  <c r="E43" i="8" s="1"/>
  <c r="C42" i="8"/>
  <c r="D42" i="8"/>
  <c r="B42" i="8"/>
  <c r="E42" i="8" s="1"/>
  <c r="C41" i="8"/>
  <c r="D41" i="8"/>
  <c r="B41" i="8"/>
  <c r="E41" i="8" s="1"/>
  <c r="C40" i="8"/>
  <c r="D40" i="8"/>
  <c r="B40" i="8"/>
  <c r="E40" i="8" s="1"/>
  <c r="C39" i="8"/>
  <c r="D39" i="8"/>
  <c r="B39" i="8"/>
  <c r="E39" i="8" s="1"/>
  <c r="C38" i="8"/>
  <c r="D38" i="8"/>
  <c r="B38" i="8"/>
  <c r="E38" i="8" s="1"/>
  <c r="C37" i="8"/>
  <c r="D37" i="8"/>
  <c r="B37" i="8"/>
  <c r="E37" i="8" s="1"/>
  <c r="C36" i="8"/>
  <c r="D36" i="8"/>
  <c r="B36" i="8"/>
  <c r="E36" i="8" s="1"/>
  <c r="C35" i="8"/>
  <c r="D35" i="8"/>
  <c r="B35" i="8"/>
  <c r="E35" i="8" s="1"/>
  <c r="C34" i="8"/>
  <c r="D34" i="8"/>
  <c r="B34" i="8"/>
  <c r="E34" i="8" s="1"/>
  <c r="C33" i="8"/>
  <c r="D33" i="8"/>
  <c r="B33" i="8"/>
  <c r="E33" i="8" s="1"/>
  <c r="C32" i="8"/>
  <c r="D32" i="8"/>
  <c r="B32" i="8"/>
  <c r="E32" i="8" s="1"/>
  <c r="C31" i="8"/>
  <c r="D31" i="8"/>
  <c r="B31" i="8"/>
  <c r="E31" i="8" s="1"/>
  <c r="C30" i="8"/>
  <c r="D30" i="8"/>
  <c r="B30" i="8"/>
  <c r="E30" i="8" s="1"/>
  <c r="C29" i="8"/>
  <c r="D29" i="8"/>
  <c r="B29" i="8"/>
  <c r="E29" i="8" s="1"/>
  <c r="C28" i="8"/>
  <c r="D28" i="8"/>
  <c r="B28" i="8"/>
  <c r="E28" i="8" s="1"/>
  <c r="C27" i="8"/>
  <c r="D27" i="8"/>
  <c r="B27" i="8"/>
  <c r="E27" i="8" s="1"/>
  <c r="C26" i="8"/>
  <c r="D26" i="8"/>
  <c r="B26" i="8"/>
  <c r="E26" i="8" s="1"/>
  <c r="C25" i="8"/>
  <c r="D25" i="8"/>
  <c r="B25" i="8"/>
  <c r="E25" i="8" s="1"/>
  <c r="C24" i="8"/>
  <c r="D24" i="8"/>
  <c r="B24" i="8"/>
  <c r="E24" i="8" s="1"/>
  <c r="C23" i="8"/>
  <c r="D23" i="8"/>
  <c r="B23" i="8"/>
  <c r="E23" i="8" s="1"/>
  <c r="C22" i="8"/>
  <c r="D22" i="8"/>
  <c r="B22" i="8"/>
  <c r="E22" i="8" s="1"/>
  <c r="C21" i="8"/>
  <c r="D21" i="8"/>
  <c r="B21" i="8"/>
  <c r="E21" i="8" s="1"/>
  <c r="C20" i="8"/>
  <c r="D20" i="8"/>
  <c r="B20" i="8"/>
  <c r="E20" i="8" s="1"/>
  <c r="C19" i="8"/>
  <c r="D19" i="8"/>
  <c r="B19" i="8"/>
  <c r="E19" i="8" s="1"/>
  <c r="C18" i="8"/>
  <c r="D18" i="8"/>
  <c r="B18" i="8"/>
  <c r="E18" i="8" s="1"/>
  <c r="C17" i="8"/>
  <c r="D17" i="8"/>
  <c r="B17" i="8"/>
  <c r="E17" i="8" s="1"/>
  <c r="C16" i="8"/>
  <c r="D16" i="8"/>
  <c r="B16" i="8"/>
  <c r="E16" i="8" s="1"/>
  <c r="C15" i="8"/>
  <c r="D15" i="8"/>
  <c r="B15" i="8"/>
  <c r="E15" i="8" s="1"/>
  <c r="C14" i="8"/>
  <c r="D14" i="8"/>
  <c r="B14" i="8"/>
  <c r="E14" i="8" s="1"/>
  <c r="C13" i="8"/>
  <c r="D13" i="8"/>
  <c r="B13" i="8"/>
  <c r="E13" i="8" s="1"/>
  <c r="C12" i="8"/>
  <c r="D12" i="8"/>
  <c r="B12" i="8"/>
  <c r="E12" i="8" s="1"/>
  <c r="C11" i="8"/>
  <c r="D11" i="8"/>
  <c r="B11" i="8"/>
  <c r="E11" i="8" s="1"/>
  <c r="C10" i="8"/>
  <c r="D10" i="8"/>
  <c r="B10" i="8"/>
  <c r="E10" i="8" s="1"/>
  <c r="C9" i="8"/>
  <c r="D9" i="8"/>
  <c r="B9" i="8"/>
  <c r="E9" i="8" s="1"/>
  <c r="C8" i="8"/>
  <c r="D8" i="8"/>
  <c r="B8" i="8"/>
  <c r="E8" i="8" s="1"/>
  <c r="C7" i="8"/>
  <c r="D7" i="8"/>
  <c r="B7" i="8"/>
  <c r="E7" i="8" s="1"/>
  <c r="A89" i="4"/>
  <c r="A89" i="3"/>
  <c r="A88" i="4"/>
  <c r="A88" i="3"/>
  <c r="A87" i="4"/>
  <c r="A87" i="3"/>
  <c r="A86" i="4"/>
  <c r="A86" i="3"/>
  <c r="A85" i="4"/>
  <c r="A85" i="3"/>
  <c r="A84" i="4"/>
  <c r="A84" i="3"/>
  <c r="A83" i="4"/>
  <c r="A83" i="3"/>
  <c r="A82" i="4"/>
  <c r="A82" i="3"/>
  <c r="A81" i="4"/>
  <c r="A81" i="3"/>
  <c r="A80" i="4"/>
  <c r="A80" i="3"/>
  <c r="A79" i="4"/>
  <c r="A79" i="3"/>
  <c r="A78" i="4"/>
  <c r="A78" i="3"/>
  <c r="A77" i="4"/>
  <c r="A77" i="3"/>
  <c r="A76" i="4"/>
  <c r="A76" i="3"/>
  <c r="A75" i="4"/>
  <c r="A75" i="3"/>
  <c r="A74" i="4"/>
  <c r="A74" i="3"/>
  <c r="A73" i="4"/>
  <c r="A73" i="3"/>
  <c r="A72" i="4"/>
  <c r="A72" i="3"/>
  <c r="A71" i="4"/>
  <c r="A71" i="3"/>
  <c r="A70" i="4"/>
  <c r="A70" i="3"/>
  <c r="A69" i="4"/>
  <c r="A69" i="3"/>
  <c r="A68" i="4"/>
  <c r="A68" i="3"/>
  <c r="A67" i="4"/>
  <c r="A67" i="3"/>
  <c r="A66" i="4"/>
  <c r="A66" i="3"/>
  <c r="A65" i="4"/>
  <c r="A65" i="3"/>
  <c r="A64" i="4"/>
  <c r="A64" i="3"/>
  <c r="A63" i="4"/>
  <c r="A63" i="3"/>
  <c r="A62" i="4"/>
  <c r="A62" i="3"/>
  <c r="A61" i="4"/>
  <c r="A61" i="3"/>
  <c r="A60" i="4"/>
  <c r="A60" i="3"/>
  <c r="A59" i="4"/>
  <c r="A59" i="3"/>
  <c r="A58" i="4"/>
  <c r="A58" i="3"/>
  <c r="A57" i="4"/>
  <c r="A57" i="3"/>
  <c r="A56" i="4"/>
  <c r="A56" i="3"/>
  <c r="A55" i="4"/>
  <c r="A55" i="3"/>
  <c r="A54" i="4"/>
  <c r="A54" i="3"/>
  <c r="A53" i="4"/>
  <c r="A53" i="3"/>
  <c r="A52" i="4"/>
  <c r="A52" i="3"/>
  <c r="A51" i="4"/>
  <c r="A51" i="3"/>
  <c r="A50" i="4"/>
  <c r="A50" i="3"/>
  <c r="A49" i="4"/>
  <c r="A49" i="3"/>
  <c r="A48" i="4"/>
  <c r="A48" i="3"/>
  <c r="A47" i="4"/>
  <c r="A47" i="3"/>
  <c r="A46" i="4"/>
  <c r="A46" i="3"/>
  <c r="A45" i="4"/>
  <c r="A45" i="3"/>
  <c r="A44" i="4"/>
  <c r="A44" i="3"/>
  <c r="A43" i="4"/>
  <c r="A43" i="3"/>
  <c r="A42" i="4"/>
  <c r="A42" i="3"/>
  <c r="A41" i="4"/>
  <c r="A41" i="3"/>
  <c r="A40" i="4"/>
  <c r="A40" i="3"/>
  <c r="A39" i="4"/>
  <c r="A39" i="3"/>
  <c r="A38" i="4"/>
  <c r="A38" i="3"/>
  <c r="A37" i="4"/>
  <c r="A37" i="3"/>
  <c r="A36" i="4"/>
  <c r="A36" i="3"/>
  <c r="A35" i="4"/>
  <c r="A35" i="3"/>
  <c r="A34" i="4"/>
  <c r="A34" i="3"/>
  <c r="A33" i="4"/>
  <c r="A33" i="3"/>
  <c r="A32" i="4"/>
  <c r="A32" i="3"/>
  <c r="A31" i="4"/>
  <c r="A31" i="3"/>
  <c r="A30" i="4"/>
  <c r="A30" i="3"/>
  <c r="A29" i="4"/>
  <c r="A29" i="3"/>
  <c r="A28" i="4"/>
  <c r="A28" i="3"/>
  <c r="A27" i="4"/>
  <c r="A27" i="3"/>
  <c r="A26" i="4"/>
  <c r="A26" i="3"/>
  <c r="A25" i="4"/>
  <c r="A25" i="3"/>
  <c r="A24" i="4"/>
  <c r="A24" i="3"/>
  <c r="A23" i="4"/>
  <c r="A23" i="3"/>
  <c r="A22" i="4"/>
  <c r="A22" i="3"/>
  <c r="A21" i="4"/>
  <c r="A21" i="3"/>
  <c r="A20" i="4"/>
  <c r="A20" i="3"/>
  <c r="A19" i="4"/>
  <c r="A19" i="3"/>
  <c r="A18" i="4"/>
  <c r="A18" i="3"/>
  <c r="A17" i="4"/>
  <c r="A17" i="3"/>
  <c r="A16" i="4"/>
  <c r="A16" i="3"/>
  <c r="A15" i="4"/>
  <c r="A15" i="3"/>
  <c r="A14" i="4"/>
  <c r="A14" i="3"/>
  <c r="A13" i="4"/>
  <c r="A13" i="3"/>
  <c r="A12" i="4"/>
  <c r="A12" i="3"/>
  <c r="A11" i="4"/>
  <c r="A11" i="3"/>
  <c r="A10" i="4"/>
  <c r="A10" i="3"/>
  <c r="A9" i="4"/>
  <c r="A9" i="3"/>
  <c r="A8" i="4"/>
  <c r="A8" i="3"/>
  <c r="A7" i="4"/>
  <c r="A7" i="3"/>
  <c r="H7" i="8" l="1"/>
  <c r="J7" i="8" s="1"/>
  <c r="F7" i="8"/>
  <c r="G7" i="8" s="1"/>
  <c r="H8" i="8"/>
  <c r="J8" i="8" s="1"/>
  <c r="F8" i="8"/>
  <c r="G8" i="8" s="1"/>
  <c r="H9" i="8"/>
  <c r="J9" i="8" s="1"/>
  <c r="F9" i="8"/>
  <c r="G9" i="8" s="1"/>
  <c r="H10" i="8"/>
  <c r="J10" i="8" s="1"/>
  <c r="F10" i="8"/>
  <c r="G10" i="8" s="1"/>
  <c r="H11" i="8"/>
  <c r="J11" i="8" s="1"/>
  <c r="F11" i="8"/>
  <c r="G11" i="8" s="1"/>
  <c r="H12" i="8"/>
  <c r="J12" i="8" s="1"/>
  <c r="F12" i="8"/>
  <c r="G12" i="8" s="1"/>
  <c r="H13" i="8"/>
  <c r="J13" i="8" s="1"/>
  <c r="F13" i="8"/>
  <c r="G13" i="8" s="1"/>
  <c r="H14" i="8"/>
  <c r="J14" i="8" s="1"/>
  <c r="F14" i="8"/>
  <c r="G14" i="8" s="1"/>
  <c r="H15" i="8"/>
  <c r="J15" i="8" s="1"/>
  <c r="F15" i="8"/>
  <c r="G15" i="8" s="1"/>
  <c r="H16" i="8"/>
  <c r="J16" i="8" s="1"/>
  <c r="F16" i="8"/>
  <c r="G16" i="8" s="1"/>
  <c r="H17" i="8"/>
  <c r="J17" i="8" s="1"/>
  <c r="F17" i="8"/>
  <c r="G17" i="8" s="1"/>
  <c r="H18" i="8"/>
  <c r="J18" i="8" s="1"/>
  <c r="F18" i="8"/>
  <c r="G18" i="8" s="1"/>
  <c r="H19" i="8"/>
  <c r="J19" i="8" s="1"/>
  <c r="F19" i="8"/>
  <c r="G19" i="8" s="1"/>
  <c r="H20" i="8"/>
  <c r="J20" i="8" s="1"/>
  <c r="F20" i="8"/>
  <c r="G20" i="8" s="1"/>
  <c r="H21" i="8"/>
  <c r="J21" i="8" s="1"/>
  <c r="F21" i="8"/>
  <c r="G21" i="8" s="1"/>
  <c r="H22" i="8"/>
  <c r="J22" i="8" s="1"/>
  <c r="F22" i="8"/>
  <c r="G22" i="8" s="1"/>
  <c r="H23" i="8"/>
  <c r="J23" i="8" s="1"/>
  <c r="F23" i="8"/>
  <c r="G23" i="8" s="1"/>
  <c r="H24" i="8"/>
  <c r="J24" i="8" s="1"/>
  <c r="F24" i="8"/>
  <c r="G24" i="8" s="1"/>
  <c r="H25" i="8"/>
  <c r="J25" i="8" s="1"/>
  <c r="F25" i="8"/>
  <c r="G25" i="8" s="1"/>
  <c r="H26" i="8"/>
  <c r="J26" i="8" s="1"/>
  <c r="F26" i="8"/>
  <c r="G26" i="8" s="1"/>
  <c r="H27" i="8"/>
  <c r="J27" i="8" s="1"/>
  <c r="F27" i="8"/>
  <c r="G27" i="8" s="1"/>
  <c r="H28" i="8"/>
  <c r="J28" i="8" s="1"/>
  <c r="F28" i="8"/>
  <c r="G28" i="8" s="1"/>
  <c r="H29" i="8"/>
  <c r="J29" i="8" s="1"/>
  <c r="F29" i="8"/>
  <c r="G29" i="8" s="1"/>
  <c r="H30" i="8"/>
  <c r="J30" i="8" s="1"/>
  <c r="F30" i="8"/>
  <c r="G30" i="8" s="1"/>
  <c r="H31" i="8"/>
  <c r="J31" i="8" s="1"/>
  <c r="F31" i="8"/>
  <c r="G31" i="8" s="1"/>
  <c r="H32" i="8"/>
  <c r="J32" i="8" s="1"/>
  <c r="F32" i="8"/>
  <c r="G32" i="8" s="1"/>
  <c r="H33" i="8"/>
  <c r="J33" i="8" s="1"/>
  <c r="F33" i="8"/>
  <c r="G33" i="8" s="1"/>
  <c r="H34" i="8"/>
  <c r="J34" i="8" s="1"/>
  <c r="F34" i="8"/>
  <c r="G34" i="8" s="1"/>
  <c r="H35" i="8"/>
  <c r="J35" i="8" s="1"/>
  <c r="F35" i="8"/>
  <c r="G35" i="8" s="1"/>
  <c r="H36" i="8"/>
  <c r="J36" i="8" s="1"/>
  <c r="F36" i="8"/>
  <c r="G36" i="8" s="1"/>
  <c r="H37" i="8"/>
  <c r="J37" i="8" s="1"/>
  <c r="F37" i="8"/>
  <c r="G37" i="8" s="1"/>
  <c r="H38" i="8"/>
  <c r="J38" i="8" s="1"/>
  <c r="F38" i="8"/>
  <c r="G38" i="8" s="1"/>
  <c r="H39" i="8"/>
  <c r="J39" i="8" s="1"/>
  <c r="F39" i="8"/>
  <c r="G39" i="8" s="1"/>
  <c r="H40" i="8"/>
  <c r="J40" i="8" s="1"/>
  <c r="F40" i="8"/>
  <c r="G40" i="8" s="1"/>
  <c r="H41" i="8"/>
  <c r="J41" i="8" s="1"/>
  <c r="F41" i="8"/>
  <c r="G41" i="8" s="1"/>
  <c r="H42" i="8"/>
  <c r="J42" i="8" s="1"/>
  <c r="F42" i="8"/>
  <c r="G42" i="8" s="1"/>
  <c r="H43" i="8"/>
  <c r="J43" i="8" s="1"/>
  <c r="F43" i="8"/>
  <c r="G43" i="8" s="1"/>
  <c r="H44" i="8"/>
  <c r="J44" i="8" s="1"/>
  <c r="F44" i="8"/>
  <c r="G44" i="8" s="1"/>
  <c r="H45" i="8"/>
  <c r="J45" i="8" s="1"/>
  <c r="F45" i="8"/>
  <c r="G45" i="8" s="1"/>
  <c r="H46" i="8"/>
  <c r="J46" i="8" s="1"/>
  <c r="F46" i="8"/>
  <c r="G46" i="8" s="1"/>
  <c r="H47" i="8"/>
  <c r="J47" i="8" s="1"/>
  <c r="F47" i="8"/>
  <c r="G47" i="8" s="1"/>
  <c r="H48" i="8"/>
  <c r="J48" i="8" s="1"/>
  <c r="F48" i="8"/>
  <c r="G48" i="8" s="1"/>
  <c r="H49" i="8"/>
  <c r="J49" i="8" s="1"/>
  <c r="F49" i="8"/>
  <c r="G49" i="8" s="1"/>
  <c r="H50" i="8"/>
  <c r="J50" i="8" s="1"/>
  <c r="F50" i="8"/>
  <c r="G50" i="8" s="1"/>
  <c r="H51" i="8"/>
  <c r="J51" i="8" s="1"/>
  <c r="F51" i="8"/>
  <c r="G51" i="8" s="1"/>
  <c r="H52" i="8"/>
  <c r="J52" i="8" s="1"/>
  <c r="F52" i="8"/>
  <c r="G52" i="8" s="1"/>
  <c r="H53" i="8"/>
  <c r="J53" i="8" s="1"/>
  <c r="F53" i="8"/>
  <c r="G53" i="8" s="1"/>
  <c r="H54" i="8"/>
  <c r="J54" i="8" s="1"/>
  <c r="F54" i="8"/>
  <c r="G54" i="8" s="1"/>
  <c r="H55" i="8"/>
  <c r="J55" i="8" s="1"/>
  <c r="F55" i="8"/>
  <c r="G55" i="8" s="1"/>
  <c r="H56" i="8"/>
  <c r="J56" i="8" s="1"/>
  <c r="F56" i="8"/>
  <c r="G56" i="8" s="1"/>
  <c r="H57" i="8"/>
  <c r="J57" i="8" s="1"/>
  <c r="F57" i="8"/>
  <c r="G57" i="8" s="1"/>
  <c r="H58" i="8"/>
  <c r="J58" i="8" s="1"/>
  <c r="F58" i="8"/>
  <c r="G58" i="8" s="1"/>
  <c r="H59" i="8"/>
  <c r="J59" i="8" s="1"/>
  <c r="F59" i="8"/>
  <c r="G59" i="8" s="1"/>
  <c r="H60" i="8"/>
  <c r="J60" i="8" s="1"/>
  <c r="F60" i="8"/>
  <c r="G60" i="8" s="1"/>
  <c r="H61" i="8"/>
  <c r="J61" i="8" s="1"/>
  <c r="F61" i="8"/>
  <c r="G61" i="8" s="1"/>
  <c r="H62" i="8"/>
  <c r="J62" i="8" s="1"/>
  <c r="F62" i="8"/>
  <c r="G62" i="8" s="1"/>
  <c r="H63" i="8"/>
  <c r="J63" i="8" s="1"/>
  <c r="F63" i="8"/>
  <c r="G63" i="8" s="1"/>
  <c r="H64" i="8"/>
  <c r="J64" i="8" s="1"/>
  <c r="F64" i="8"/>
  <c r="G64" i="8" s="1"/>
  <c r="H65" i="8"/>
  <c r="J65" i="8" s="1"/>
  <c r="F65" i="8"/>
  <c r="G65" i="8" s="1"/>
  <c r="H66" i="8"/>
  <c r="J66" i="8" s="1"/>
  <c r="F66" i="8"/>
  <c r="G66" i="8" s="1"/>
  <c r="H67" i="8"/>
  <c r="J67" i="8" s="1"/>
  <c r="F67" i="8"/>
  <c r="G67" i="8" s="1"/>
  <c r="H68" i="8"/>
  <c r="J68" i="8" s="1"/>
  <c r="F68" i="8"/>
  <c r="G68" i="8" s="1"/>
  <c r="H69" i="8"/>
  <c r="J69" i="8" s="1"/>
  <c r="F69" i="8"/>
  <c r="G69" i="8" s="1"/>
  <c r="H70" i="8"/>
  <c r="J70" i="8" s="1"/>
  <c r="F70" i="8"/>
  <c r="G70" i="8" s="1"/>
  <c r="H71" i="8"/>
  <c r="J71" i="8" s="1"/>
  <c r="F71" i="8"/>
  <c r="G71" i="8" s="1"/>
  <c r="H72" i="8"/>
  <c r="J72" i="8" s="1"/>
  <c r="F72" i="8"/>
  <c r="G72" i="8" s="1"/>
  <c r="H73" i="8"/>
  <c r="J73" i="8" s="1"/>
  <c r="F73" i="8"/>
  <c r="G73" i="8" s="1"/>
  <c r="H74" i="8"/>
  <c r="J74" i="8" s="1"/>
  <c r="F74" i="8"/>
  <c r="G74" i="8" s="1"/>
  <c r="H75" i="8"/>
  <c r="J75" i="8" s="1"/>
  <c r="F75" i="8"/>
  <c r="G75" i="8" s="1"/>
  <c r="H76" i="8"/>
  <c r="J76" i="8" s="1"/>
  <c r="F76" i="8"/>
  <c r="G76" i="8" s="1"/>
  <c r="H77" i="8"/>
  <c r="J77" i="8" s="1"/>
  <c r="F77" i="8"/>
  <c r="G77" i="8" s="1"/>
  <c r="H78" i="8"/>
  <c r="J78" i="8" s="1"/>
  <c r="F78" i="8"/>
  <c r="G78" i="8" s="1"/>
  <c r="H79" i="8"/>
  <c r="J79" i="8" s="1"/>
  <c r="F79" i="8"/>
  <c r="G79" i="8" s="1"/>
  <c r="H80" i="8"/>
  <c r="J80" i="8" s="1"/>
  <c r="F80" i="8"/>
  <c r="G80" i="8" s="1"/>
  <c r="H81" i="8"/>
  <c r="J81" i="8" s="1"/>
  <c r="F81" i="8"/>
  <c r="G81" i="8" s="1"/>
  <c r="H82" i="8"/>
  <c r="J82" i="8" s="1"/>
  <c r="F82" i="8"/>
  <c r="G82" i="8" s="1"/>
  <c r="H83" i="8"/>
  <c r="J83" i="8" s="1"/>
  <c r="F83" i="8"/>
  <c r="G83" i="8" s="1"/>
  <c r="H84" i="8"/>
  <c r="J84" i="8" s="1"/>
  <c r="F84" i="8"/>
  <c r="G84" i="8" s="1"/>
  <c r="H85" i="8"/>
  <c r="J85" i="8" s="1"/>
  <c r="F85" i="8"/>
  <c r="G85" i="8" s="1"/>
  <c r="H86" i="8"/>
  <c r="J86" i="8" s="1"/>
  <c r="F86" i="8"/>
  <c r="G86" i="8" s="1"/>
  <c r="H87" i="8"/>
  <c r="J87" i="8" s="1"/>
  <c r="F87" i="8"/>
  <c r="G87" i="8" s="1"/>
  <c r="H88" i="8"/>
  <c r="J88" i="8" s="1"/>
  <c r="F88" i="8"/>
  <c r="G88" i="8" s="1"/>
  <c r="H89" i="8"/>
  <c r="J89" i="8" s="1"/>
  <c r="F89" i="8"/>
  <c r="G89" i="8" s="1"/>
  <c r="H6" i="8"/>
  <c r="J6" i="8" s="1"/>
  <c r="F6" i="8"/>
  <c r="G6" i="8" s="1"/>
  <c r="K6" i="8" l="1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<sst xmlns="http://schemas.openxmlformats.org/spreadsheetml/2006/main" count="113" uniqueCount="96">
  <si>
    <t>Naspers Ltd – Integrated Holding Company &amp; SOTP Framework</t>
  </si>
  <si>
    <t>Time Horizon: FY2020-FY2025</t>
  </si>
  <si>
    <t>Objective:</t>
  </si>
  <si>
    <t>To evaluate intrinsic value, structural discount persistence, and capital allocation discipline using a look-through NAV and SOTP framework.</t>
  </si>
  <si>
    <t>tbl_naspers_price</t>
  </si>
  <si>
    <t>Date</t>
  </si>
  <si>
    <t>Share Price (ZAR)</t>
  </si>
  <si>
    <t>Shares Outstanding (B)</t>
  </si>
  <si>
    <t>Market Cap (ZAR B)</t>
  </si>
  <si>
    <t>tbl_tencent_market</t>
  </si>
  <si>
    <t>Tencent Price (HKD)</t>
  </si>
  <si>
    <t>Market Cap (HKD B)</t>
  </si>
  <si>
    <t>tbl_fx_rates</t>
  </si>
  <si>
    <t>HKD_ZAR</t>
  </si>
  <si>
    <t>USD_ZAR</t>
  </si>
  <si>
    <t>calc_lookthrough_nav</t>
  </si>
  <si>
    <t>TCE_MktCap_HKD_B</t>
  </si>
  <si>
    <t>Fiscal_Year</t>
  </si>
  <si>
    <t>TCE_MktCap_ZAR_B</t>
  </si>
  <si>
    <t>Ownership_%</t>
  </si>
  <si>
    <t>Naspers_TCE_Value_ZAR_B</t>
  </si>
  <si>
    <t>Net_debt_USD_B</t>
  </si>
  <si>
    <t>Net_Debt_ZAR_B</t>
  </si>
  <si>
    <t>NAV_ZAR_B</t>
  </si>
  <si>
    <t>Naspers_MktCap_ZAR_B</t>
  </si>
  <si>
    <t>NAV_Discount_%</t>
  </si>
  <si>
    <t>Discount_ZAR_B</t>
  </si>
  <si>
    <t>Reserved for share count scenario modeling (buybacks / dilution).</t>
  </si>
  <si>
    <t>tbl_ownership</t>
  </si>
  <si>
    <t>tbl_netdebt</t>
  </si>
  <si>
    <t>tbl_assumptions_core</t>
  </si>
  <si>
    <t>Active_Scenario</t>
  </si>
  <si>
    <t>Base</t>
  </si>
  <si>
    <t>Assumption</t>
  </si>
  <si>
    <t>Bull</t>
  </si>
  <si>
    <t>Bear</t>
  </si>
  <si>
    <t>Active_Value</t>
  </si>
  <si>
    <t>Unit</t>
  </si>
  <si>
    <t>Notes</t>
  </si>
  <si>
    <t>Target_Holding_Discount_%</t>
  </si>
  <si>
    <t>%</t>
  </si>
  <si>
    <t>Discount applied to NAV</t>
  </si>
  <si>
    <t>Tencent_Value_Shock_%</t>
  </si>
  <si>
    <t>Shock to Tencent HKD market cap</t>
  </si>
  <si>
    <t>HKD_ZAR_Shock_%</t>
  </si>
  <si>
    <t>FX stress</t>
  </si>
  <si>
    <t>Corporate_NetDebt_Shock_USD_B</t>
  </si>
  <si>
    <t>USD B</t>
  </si>
  <si>
    <t>Negative = more net cash</t>
  </si>
  <si>
    <t>Latest Date</t>
  </si>
  <si>
    <t>Scenario Comparison</t>
  </si>
  <si>
    <t>Current_Discount</t>
  </si>
  <si>
    <t>Current_Share_Price</t>
  </si>
  <si>
    <t>Latest NAV (ZAR B)</t>
  </si>
  <si>
    <t>Latest Market Cap (ZAR B)</t>
  </si>
  <si>
    <t>Metric</t>
  </si>
  <si>
    <t>Target Holding Discount (%)</t>
  </si>
  <si>
    <t>Target Discount (%)</t>
  </si>
  <si>
    <t>Scenario Implied Market Cap (ZAR B)</t>
  </si>
  <si>
    <t>Implied Market Cap (ZAR B)</t>
  </si>
  <si>
    <t>Scenario Upside (%)</t>
  </si>
  <si>
    <t>Upside (%)</t>
  </si>
  <si>
    <t>Current NAV Discount (%)</t>
  </si>
  <si>
    <t>Implied Share Price</t>
  </si>
  <si>
    <t>Discount Gap (Current - Target)</t>
  </si>
  <si>
    <t>Holding Discount Sensitivity</t>
  </si>
  <si>
    <t>Discount (%)</t>
  </si>
  <si>
    <t>Investment Takeaway</t>
  </si>
  <si>
    <t>• Current discount: 65.7%</t>
  </si>
  <si>
    <t>• Target discount: 50%</t>
  </si>
  <si>
    <t>• Discount gap: 15.7%</t>
  </si>
  <si>
    <t>• Implied upside to target: 45.7%</t>
  </si>
  <si>
    <t>Look-Through NAV Valuation Model – Naspers</t>
  </si>
  <si>
    <t>Objective</t>
  </si>
  <si>
    <t>Estimate intrinsic equity value using look-through NAV and discount scenarios.</t>
  </si>
  <si>
    <t>Methodology</t>
  </si>
  <si>
    <t>Tencent market cap (HKD)</t>
  </si>
  <si>
    <t>FX conversion to ZAR</t>
  </si>
  <si>
    <t>Ownership %</t>
  </si>
  <si>
    <t>Corporate net debt adjustment</t>
  </si>
  <si>
    <t>Implied holding discount analysis</t>
  </si>
  <si>
    <t>Key Assumptions</t>
  </si>
  <si>
    <t>Base discount: 50%</t>
  </si>
  <si>
    <t>Bull: 35%</t>
  </si>
  <si>
    <t>Bear: 65%</t>
  </si>
  <si>
    <t>Corporate net debt: sourced from annual filings</t>
  </si>
  <si>
    <t>Outputs</t>
  </si>
  <si>
    <t>Latest NAV</t>
  </si>
  <si>
    <t>Current discount</t>
  </si>
  <si>
    <t>Target implied share price</t>
  </si>
  <si>
    <t>Sensitivity curve</t>
  </si>
  <si>
    <t>Key Limitations</t>
  </si>
  <si>
    <t>Assumes constant ownership %</t>
  </si>
  <si>
    <t>No dynamic buybacks</t>
  </si>
  <si>
    <t>Static net debt by fiscal year</t>
  </si>
  <si>
    <t>No tax leakage adjustments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</si>
</sst>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rgb="FF000000"/>
      <name val="Aptos Narrow"/>
    </font>
    <font>
      <b/>
      <sz val="14"/>
      <color rgb="FF000000"/>
      <name val="Aptos Narrow"/>
    </font>
    <font>
      <b/>
      <sz val="14"/>
      <color theme="1"/>
      <name val="Calibri"/>
      <family val="2"/>
      <scheme val="minor"/>
    </font>
    <font>
      <b/>
      <sz val="11"/>
      <color theme="1"/>
      <name val="Aptos Narrow"/>
    </font>
    <font>
      <b/>
      <sz val="14"/>
      <color theme="1"/>
      <name val="Aptos Display"/>
    </font>
    <font>
      <b/>
      <sz val="14"/>
      <color theme="1"/>
      <name val="Aptos Narrow"/>
    </font>
    <font>
      <b/>
      <sz val="16"/>
      <color theme="1"/>
      <name val="Aptos Narrow"/>
    </font>
    <font>
      <b/>
      <sz val="11"/>
      <color rgb="FF000000"/>
      <name val="Aptos Narrow"/>
    </font>
    <font>
      <b/>
      <sz val="12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0" fontId="1" fillId="0" borderId="0" xfId="0" applyFont="1"/>
    <xf numFmtId="15" fontId="0" fillId="0" borderId="0" xfId="0" applyNumberFormat="1"/>
    <xf numFmtId="15" fontId="1" fillId="0" borderId="0" xfId="0" applyNumberFormat="1" applyFont="1"/>
    <xf numFmtId="2" fontId="1" fillId="0" borderId="0" xfId="0" applyNumberFormat="1" applyFont="1"/>
    <xf numFmtId="15" fontId="1" fillId="0" borderId="0" xfId="0" applyNumberFormat="1" applyFont="1" applyAlignment="1">
      <alignment wrapText="1"/>
    </xf>
    <xf numFmtId="0" fontId="3" fillId="2" borderId="0" xfId="0" applyFont="1" applyFill="1"/>
    <xf numFmtId="0" fontId="4" fillId="2" borderId="0" xfId="0" applyFont="1" applyFill="1"/>
    <xf numFmtId="0" fontId="5" fillId="0" borderId="0" xfId="0" applyFont="1"/>
    <xf numFmtId="0" fontId="7" fillId="0" borderId="0" xfId="0" applyFont="1"/>
    <xf numFmtId="0" fontId="6" fillId="2" borderId="0" xfId="0" applyFont="1" applyFill="1"/>
    <xf numFmtId="0" fontId="8" fillId="2" borderId="0" xfId="0" applyFont="1" applyFill="1"/>
    <xf numFmtId="0" fontId="7" fillId="0" borderId="0" xfId="0" applyFont="1" applyAlignment="1">
      <alignment wrapText="1"/>
    </xf>
    <xf numFmtId="2" fontId="1" fillId="0" borderId="0" xfId="0" applyNumberFormat="1" applyFont="1" applyAlignment="1">
      <alignment wrapText="1"/>
    </xf>
    <xf numFmtId="0" fontId="7" fillId="3" borderId="0" xfId="0" applyFont="1" applyFill="1"/>
    <xf numFmtId="0" fontId="7" fillId="3" borderId="0" xfId="0" applyFont="1" applyFill="1" applyAlignment="1">
      <alignment wrapText="1"/>
    </xf>
    <xf numFmtId="10" fontId="1" fillId="0" borderId="0" xfId="0" applyNumberFormat="1" applyFont="1" applyAlignment="1">
      <alignment wrapText="1"/>
    </xf>
    <xf numFmtId="10" fontId="1" fillId="0" borderId="0" xfId="0" applyNumberFormat="1" applyFont="1"/>
    <xf numFmtId="0" fontId="5" fillId="3" borderId="0" xfId="0" applyFont="1" applyFill="1" applyAlignment="1">
      <alignment wrapText="1"/>
    </xf>
    <xf numFmtId="0" fontId="9" fillId="0" borderId="0" xfId="0" applyFont="1"/>
    <xf numFmtId="0" fontId="5" fillId="3" borderId="0" xfId="0" applyFont="1" applyFill="1"/>
    <xf numFmtId="0" fontId="0" fillId="0" borderId="0" xfId="0" applyFont="1"/>
    <xf numFmtId="14" fontId="1" fillId="0" borderId="0" xfId="0" applyNumberFormat="1" applyFont="1" applyAlignment="1">
      <alignment wrapText="1"/>
    </xf>
    <xf numFmtId="9" fontId="1" fillId="0" borderId="0" xfId="0" applyNumberFormat="1" applyFont="1"/>
    <xf numFmtId="0" fontId="8" fillId="0" borderId="0" xfId="0" applyFont="1" applyAlignment="1">
      <alignment wrapText="1"/>
    </xf>
    <xf numFmtId="0" fontId="10" fillId="0" borderId="0" xfId="0" applyFont="1"/>
  </cellXfs>
  <cellStyles count="1">
    <cellStyle name="Normal" xfId="0" builtinId="0"/>
  </cellStyles>
  <dxfs count="45">
    <dxf>
      <font>
        <name val="Aptos Narrow"/>
      </font>
    </dxf>
    <dxf>
      <font>
        <name val="Aptos Narrow"/>
      </font>
    </dxf>
    <dxf>
      <font>
        <name val="Aptos Narrow"/>
      </font>
      <numFmt numFmtId="0" formatCode="General"/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indexed="64"/>
          <bgColor theme="0" tint="-0.14999847407452621"/>
        </patternFill>
      </fill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</dxf>
    <dxf>
      <font>
        <name val="Aptos Narrow"/>
      </font>
      <numFmt numFmtId="2" formatCode="0.00"/>
    </dxf>
    <dxf>
      <font>
        <name val="Aptos Narrow"/>
      </font>
      <numFmt numFmtId="2" formatCode="0.00"/>
    </dxf>
    <dxf>
      <font>
        <name val="Aptos Narrow"/>
      </font>
      <numFmt numFmtId="2" formatCode="0.00"/>
    </dxf>
    <dxf>
      <font>
        <name val="Aptos Narrow"/>
      </font>
      <numFmt numFmtId="2" formatCode="0.00"/>
    </dxf>
    <dxf>
      <font>
        <name val="Aptos Narrow"/>
      </font>
      <numFmt numFmtId="2" formatCode="0.00"/>
    </dxf>
    <dxf>
      <font>
        <name val="Aptos Narrow"/>
      </font>
    </dxf>
    <dxf>
      <font>
        <name val="Aptos Narrow"/>
      </font>
    </dxf>
    <dxf>
      <font>
        <name val="Aptos Narrow"/>
      </font>
      <numFmt numFmtId="2" formatCode="0.00"/>
    </dxf>
    <dxf>
      <font>
        <name val="Aptos Narrow"/>
      </font>
      <numFmt numFmtId="2" formatCode="0.00"/>
      <alignment horizontal="general" vertical="bottom" textRotation="0" wrapText="1" indent="0" justifyLastLine="0" shrinkToFit="0" readingOrder="0"/>
    </dxf>
    <dxf>
      <font>
        <name val="Aptos Narrow"/>
      </font>
      <numFmt numFmtId="2" formatCode="0.00"/>
    </dxf>
    <dxf>
      <font>
        <name val="Aptos Narrow"/>
      </font>
    </dxf>
    <dxf>
      <font>
        <name val="Aptos Narrow"/>
      </font>
      <alignment horizontal="general" vertical="bottom" textRotation="0" wrapText="1" indent="0" justifyLastLine="0" shrinkToFit="0" readingOrder="0"/>
    </dxf>
    <dxf>
      <font>
        <name val="Aptos Narrow"/>
      </font>
      <numFmt numFmtId="2" formatCode="0.00"/>
      <alignment horizontal="general" vertical="bottom" textRotation="0" wrapText="1" indent="0" justifyLastLine="0" shrinkToFit="0" readingOrder="0"/>
    </dxf>
    <dxf>
      <font>
        <name val="Aptos Narrow"/>
      </font>
      <numFmt numFmtId="20" formatCode="dd\-mmm\-yy"/>
    </dxf>
    <dxf>
      <font>
        <name val="Aptos Narrow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none"/>
      </font>
      <fill>
        <patternFill patternType="solid">
          <fgColor indexed="64"/>
          <bgColor theme="0" tint="-0.14999847407452621"/>
        </patternFill>
      </fill>
    </dxf>
    <dxf>
      <numFmt numFmtId="20" formatCode="dd\-mmm\-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none"/>
      </font>
      <fill>
        <patternFill patternType="solid">
          <fgColor indexed="64"/>
          <bgColor theme="0" tint="-4.9989318521683403E-2"/>
        </patternFill>
      </fill>
    </dxf>
    <dxf>
      <font>
        <name val="Aptos Narrow"/>
      </font>
      <numFmt numFmtId="2" formatCode="0.00"/>
    </dxf>
    <dxf>
      <font>
        <name val="Aptos Narrow"/>
      </font>
    </dxf>
    <dxf>
      <font>
        <name val="Aptos Narrow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20" formatCode="dd\-mmm\-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Display"/>
        <scheme val="none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20" formatCode="dd\-mmm\-yy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vs Holding Discount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Valuation_Dashboard!$E$13</c:f>
              <c:strCache>
                <c:ptCount val="1"/>
                <c:pt idx="0">
                  <c:v>Implied Share Price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Valuation_Dashboard!D14:D22</c:f>
              <c:numCache>
                <c:formatCode>0%</c:formatCode>
                <c:ptCount val="9"/>
                <c:pt idx="0">
                  <c:v>0.3</c:v>
                </c:pt>
                <c:pt idx="1">
                  <c:v>0.35</c:v>
                </c:pt>
                <c:pt idx="2">
                  <c:v>0.4</c:v>
                </c:pt>
                <c:pt idx="3">
                  <c:v>0.45</c:v>
                </c:pt>
                <c:pt idx="4">
                  <c:v>0.5</c:v>
                </c:pt>
                <c:pt idx="5">
                  <c:v>0.55000000000000004</c:v>
                </c:pt>
                <c:pt idx="6">
                  <c:v>0.6</c:v>
                </c:pt>
                <c:pt idx="7">
                  <c:v>0.65</c:v>
                </c:pt>
                <c:pt idx="8">
                  <c:v>0.7</c:v>
                </c:pt>
              </c:numCache>
            </c:numRef>
          </c:xVal>
          <c:yVal>
            <c:numRef>
              <c:f>Valuation_Dashboard!$E$14:$E$22</c:f>
              <c:numCache>
                <c:formatCode>0.00</c:formatCode>
                <c:ptCount val="9"/>
                <c:pt idx="0">
                  <c:v>1842.4561820225319</c:v>
                </c:pt>
                <c:pt idx="1">
                  <c:v>1710.8521690209227</c:v>
                </c:pt>
                <c:pt idx="2">
                  <c:v>1579.2481560193132</c:v>
                </c:pt>
                <c:pt idx="3">
                  <c:v>1447.6441430177038</c:v>
                </c:pt>
                <c:pt idx="4">
                  <c:v>1316.0401300160943</c:v>
                </c:pt>
                <c:pt idx="5">
                  <c:v>1184.4361170144848</c:v>
                </c:pt>
                <c:pt idx="6">
                  <c:v>1052.8321040128756</c:v>
                </c:pt>
                <c:pt idx="7">
                  <c:v>921.22809101126597</c:v>
                </c:pt>
                <c:pt idx="8">
                  <c:v>789.62407800965673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8B0-4871-822D-A71DB1B451C1}"/>
            </c:ext>
          </c:extLst>
        </c:ser>
        <c:ser>
          <c:idx val="0"/>
          <c:order val="1"/>
          <c:tx>
            <c:strRef>
              <c:f>{"Current Price (842 ZAR)"}</c:f>
              <c:strCache>
                <c:ptCount val="1"/>
                <c:pt idx="0">
                  <c:v>Current Price (842 ZAR)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circle"/>
            <c:size val="8"/>
            <c:spPr>
              <a:solidFill>
                <a:srgbClr val="FF0000"/>
              </a:solidFill>
              <a:ln w="9525">
                <a:solidFill>
                  <a:srgbClr val="FF0000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D0D0D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Valuation_Dashboard!H3</c:f>
              <c:numCache>
                <c:formatCode>0.00%</c:formatCode>
                <c:ptCount val="1"/>
                <c:pt idx="0">
                  <c:v>0.65671259584274599</c:v>
                </c:pt>
              </c:numCache>
            </c:numRef>
          </c:xVal>
          <c:yVal>
            <c:numRef>
              <c:f>Valuation_Dashboard!I3</c:f>
              <c:numCache>
                <c:formatCode>0.00</c:formatCode>
                <c:ptCount val="1"/>
                <c:pt idx="0">
                  <c:v>842.11792000000003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8B0-4871-822D-A71DB1B45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4522248"/>
        <c:axId val="1958960648"/>
      </c:scatterChart>
      <c:valAx>
        <c:axId val="1904522248"/>
        <c:scaling>
          <c:orientation val="minMax"/>
          <c:max val="0.7"/>
          <c:min val="0.3"/>
        </c:scaling>
        <c:delete val="0"/>
        <c:axPos val="b"/>
        <c:numFmt formatCode="0.0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8960648"/>
        <c:crosses val="autoZero"/>
        <c:crossBetween val="midCat"/>
      </c:valAx>
      <c:valAx>
        <c:axId val="1958960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22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23</xdr:row>
      <xdr:rowOff>0</xdr:rowOff>
    </xdr:from>
    <xdr:to>
      <xdr:col>7</xdr:col>
      <xdr:colOff>1076325</xdr:colOff>
      <xdr:row>35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157058-275F-8682-7118-30A7CB105E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57BC13-326F-49BB-BB21-63BAA26A996F}" name="tbl_naspers_price_data" displayName="tbl_naspers_price_data" ref="A5:D89" totalsRowShown="0" headerRowDxfId="44">
  <autoFilter ref="A5:D89" xr:uid="{9457BC13-326F-49BB-BB21-63BAA26A996F}"/>
  <tableColumns count="4">
    <tableColumn id="1" xr3:uid="{72787690-2911-47EB-A155-6618C936D256}" name="Date" dataDxfId="43">
      <calculatedColumnFormula>EOMONTH(A5,1)</calculatedColumnFormula>
    </tableColumn>
    <tableColumn id="2" xr3:uid="{1F1AD489-2598-4FF6-8FA6-87204E345187}" name="Share Price (ZAR)" dataDxfId="42"/>
    <tableColumn id="3" xr3:uid="{378E3FF5-C720-4A71-ACB5-7D8E9CFC91B7}" name="Shares Outstanding (B)" dataDxfId="41"/>
    <tableColumn id="4" xr3:uid="{DFB439FA-9A17-4DD9-8908-BE3D9E489A67}" name="Market Cap (ZAR B)" dataDxfId="40">
      <calculatedColumnFormula>B6*C6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4C666F-BFF2-402B-B119-44C10DD7B552}" name="tbl_tencent_market_data" displayName="tbl_tencent_market_data" ref="A5:D89" totalsRowShown="0" headerRowDxfId="39">
  <autoFilter ref="A5:D89" xr:uid="{754C666F-BFF2-402B-B119-44C10DD7B552}"/>
  <tableColumns count="4">
    <tableColumn id="1" xr3:uid="{9089FB39-9F1E-49A1-90A8-753CABBF37BE}" name="Date" dataDxfId="38">
      <calculatedColumnFormula>tbl_price_history!A6</calculatedColumnFormula>
    </tableColumn>
    <tableColumn id="2" xr3:uid="{18ADB091-14D6-48F6-B5FE-A2C900A74A1E}" name="Tencent Price (HKD)" dataDxfId="37"/>
    <tableColumn id="3" xr3:uid="{984F1420-4881-45DF-8D4C-631A5ADE6614}" name="Shares Outstanding (B)" dataDxfId="36"/>
    <tableColumn id="4" xr3:uid="{131B0BE7-3F42-4054-8AA8-C21B7834797A}" name="Market Cap (HKD B)" dataDxfId="35">
      <calculatedColumnFormula>B6*C6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C1DF97-E4F1-4C4F-BD7C-0C712EAB9535}" name="tbl_fx_rates_data" displayName="tbl_fx_rates_data" ref="A5:C89" totalsRowShown="0" headerRowDxfId="34">
  <autoFilter ref="A5:C89" xr:uid="{6BC1DF97-E4F1-4C4F-BD7C-0C712EAB9535}"/>
  <tableColumns count="3">
    <tableColumn id="1" xr3:uid="{B7C69CAB-489B-441D-A108-486E239F104E}" name="Date" dataDxfId="33">
      <calculatedColumnFormula>tbl_price_history!A6</calculatedColumnFormula>
    </tableColumn>
    <tableColumn id="2" xr3:uid="{19876BCA-FFB8-4BFC-9375-52B704B825FC}" name="HKD_ZAR"/>
    <tableColumn id="3" xr3:uid="{903E919D-71D0-4754-9119-2F48878D10EC}" name="USD_ZAR"/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A50CF6-8B38-4777-AF56-9D6FC7A8C7DD}" name="Table6" displayName="Table6" ref="A5:N89" totalsRowShown="0" headerRowDxfId="32" dataDxfId="31">
  <autoFilter ref="A5:N89" xr:uid="{AAA50CF6-8B38-4777-AF56-9D6FC7A8C7DD}"/>
  <tableColumns count="14">
    <tableColumn id="1" xr3:uid="{D98DDEDD-7AA2-444F-AAD5-6F66D6C0E723}" name="Date" dataDxfId="30">
      <calculatedColumnFormula>tbl_price_history!A6</calculatedColumnFormula>
    </tableColumn>
    <tableColumn id="2" xr3:uid="{18445763-C26B-49E9-8302-8961E2D50FCB}" name="TCE_MktCap_HKD_B" dataDxfId="29">
      <calculatedColumnFormula>_xlfn.XLOOKUP(A6,tbl_tencent_market_data[Date],tbl_tencent_market_data[Market Cap (HKD B)])</calculatedColumnFormula>
    </tableColumn>
    <tableColumn id="3" xr3:uid="{8FA10D84-BF9A-4329-8CE7-048194FD8685}" name="HKD_ZAR" dataDxfId="28">
      <calculatedColumnFormula>_xlfn.XLOOKUP(A6,tbl_fx_rates_data[Date],tbl_fx_rates_data[HKD_ZAR])</calculatedColumnFormula>
    </tableColumn>
    <tableColumn id="4" xr3:uid="{C0444067-B767-4C63-B7F5-FFF3D57720A4}" name="Fiscal_Year" dataDxfId="27">
      <calculatedColumnFormula>YEAR(EDATE(A6,9))</calculatedColumnFormula>
    </tableColumn>
    <tableColumn id="5" xr3:uid="{E20E4A64-F3B0-4D40-8F82-D07A21022927}" name="TCE_MktCap_ZAR_B" dataDxfId="26">
      <calculatedColumnFormula>B6*C6</calculatedColumnFormula>
    </tableColumn>
    <tableColumn id="6" xr3:uid="{7CE12F4C-681E-493E-94FF-DDC79109C02C}" name="Ownership_%" dataDxfId="25">
      <calculatedColumnFormula>_xlfn.XLOOKUP(D6,tbl_ownership[Fiscal_Year],tbl_ownership[Ownership_%])</calculatedColumnFormula>
    </tableColumn>
    <tableColumn id="7" xr3:uid="{F248F65F-4B0C-4A25-9897-009B5F9E69FB}" name="Naspers_TCE_Value_ZAR_B" dataDxfId="24">
      <calculatedColumnFormula>E6*F6</calculatedColumnFormula>
    </tableColumn>
    <tableColumn id="8" xr3:uid="{6DFB700F-2658-4E46-9365-9E92B21C1900}" name="Net_debt_USD_B" dataDxfId="23">
      <calculatedColumnFormula>_xlfn.XLOOKUP(D6,tbl_netdebt[Fiscal_Year],tbl_netdebt[Net_debt_USD_B],0)</calculatedColumnFormula>
    </tableColumn>
    <tableColumn id="9" xr3:uid="{CC791E7D-50B0-44E9-A86F-F752E28460DD}" name="USD_ZAR" dataDxfId="22">
      <calculatedColumnFormula>_xlfn.XLOOKUP(A6,tbl_fx_rates_data[Date],tbl_fx_rates_data[USD_ZAR])</calculatedColumnFormula>
    </tableColumn>
    <tableColumn id="10" xr3:uid="{4287A980-6E7E-428D-A448-300900E10549}" name="Net_Debt_ZAR_B" dataDxfId="21">
      <calculatedColumnFormula>H6*I6</calculatedColumnFormula>
    </tableColumn>
    <tableColumn id="11" xr3:uid="{A91F6A86-DBE7-4E0F-8C70-8A261ECA04E2}" name="NAV_ZAR_B" dataDxfId="20">
      <calculatedColumnFormula>G6-J6</calculatedColumnFormula>
    </tableColumn>
    <tableColumn id="12" xr3:uid="{DC60C493-91AF-4B7A-8991-CB68763EF600}" name="Naspers_MktCap_ZAR_B" dataDxfId="19">
      <calculatedColumnFormula>_xlfn.XLOOKUP(Table6[[#This Row],[Date]],tbl_naspers_price_data[Date],tbl_naspers_price_data[Market Cap (ZAR B)])</calculatedColumnFormula>
    </tableColumn>
    <tableColumn id="13" xr3:uid="{3FAB440F-A949-4F1D-9878-AB63F8C1EAF6}" name="NAV_Discount_%" dataDxfId="18">
      <calculatedColumnFormula>1-(L6/K6)</calculatedColumnFormula>
    </tableColumn>
    <tableColumn id="14" xr3:uid="{057F5594-9C08-41CC-AC61-CAEE20367B2D}" name="Discount_ZAR_B" dataDxfId="17">
      <calculatedColumnFormula>K6-L6</calculatedColumn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FE23F0-44C8-4432-A79E-7546041F86C4}" name="tbl_ownership" displayName="tbl_ownership" ref="A5:B12" totalsRowShown="0" headerRowDxfId="16" dataDxfId="15">
  <autoFilter ref="A5:B12" xr:uid="{CAFE23F0-44C8-4432-A79E-7546041F86C4}"/>
  <tableColumns count="2">
    <tableColumn id="1" xr3:uid="{95597A3E-0814-47E7-9FE3-C1D5974CED52}" name="Fiscal_Year" dataDxfId="14"/>
    <tableColumn id="2" xr3:uid="{F4F43637-6BA3-417C-9F0D-FD26088AE60F}" name="Ownership_%" dataDxfId="13"/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7FAFD67-6916-45D2-87AA-41A053E59A8E}" name="tbl_netdebt" displayName="tbl_netdebt" ref="A16:B23" totalsRowShown="0" headerRowDxfId="12" dataDxfId="11">
  <autoFilter ref="A16:B23" xr:uid="{67FAFD67-6916-45D2-87AA-41A053E59A8E}"/>
  <tableColumns count="2">
    <tableColumn id="1" xr3:uid="{94A8AC2F-A7DD-4AA9-83BC-4FC6BD9E2BA9}" name="Fiscal_Year" dataDxfId="10"/>
    <tableColumn id="2" xr3:uid="{E676A7E4-DF32-47B0-916B-580A2F397F65}" name="Net_debt_USD_B" dataDxfId="9"/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4A459F-ED1E-4751-97E1-1037FB03F3A8}" name="Table7" displayName="Table7" ref="A5:G9" totalsRowShown="0" headerRowDxfId="8" dataDxfId="7">
  <autoFilter ref="A5:G9" xr:uid="{B04A459F-ED1E-4751-97E1-1037FB03F3A8}"/>
  <tableColumns count="7">
    <tableColumn id="1" xr3:uid="{9A9DBEAF-19F8-4EFD-A43E-39A560346B49}" name="Assumption" dataDxfId="6"/>
    <tableColumn id="2" xr3:uid="{A12D2C3A-6B70-4083-B7C4-9D09BE93C89B}" name="Base" dataDxfId="5"/>
    <tableColumn id="3" xr3:uid="{52910F9E-31B1-4CC0-84B2-B00DD4E3AE69}" name="Bull" dataDxfId="4"/>
    <tableColumn id="4" xr3:uid="{AFC4DDCE-98A5-4FE0-8AA1-8BCDEDD1714B}" name="Bear" dataDxfId="3"/>
    <tableColumn id="7" xr3:uid="{EB476B11-06C2-4DD2-B4E1-D0327810C6E0}" name="Active_Value" dataDxfId="2">
      <calculatedColumnFormula>IF($J$4="Bull",Table7[[#This Row],[Bull]],IF($J$4="Bear",Table7[[#This Row],[Bear]],Table7[[#This Row],[Base]]))</calculatedColumnFormula>
    </tableColumn>
    <tableColumn id="5" xr3:uid="{337EE643-771C-4354-B416-42921467EBEF}" name="Unit" dataDxfId="1"/>
    <tableColumn id="6" xr3:uid="{32FE622B-27F5-4E26-96A5-6958A1DAE6AF}" name="Notes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8"/>
  <sheetViews>
    <sheetView workbookViewId="0">
      <selection activeCell="C8" sqref="C8"/>
    </sheetView>
  </sheetViews>
  <sheetFormatPr defaultRowHeight="15"/>
  <cols>
    <col min="1" max="1" width="36.5703125" bestFit="1" customWidth="1"/>
  </cols>
  <sheetData>
    <row r="3" spans="1:1" ht="29.25">
      <c r="A3" s="20" t="s">
        <v>0</v>
      </c>
    </row>
    <row r="4" spans="1:1">
      <c r="A4" s="2" t="s">
        <v>1</v>
      </c>
    </row>
    <row r="6" spans="1:1">
      <c r="A6" s="21" t="s">
        <v>2</v>
      </c>
    </row>
    <row r="8" spans="1:1" ht="57.75">
      <c r="A8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CA19-C2D2-4747-9463-DC66C570DE50}">
  <dimension ref="A1:D89"/>
  <sheetViews>
    <sheetView workbookViewId="0">
      <selection activeCell="A7" sqref="A7"/>
    </sheetView>
  </sheetViews>
  <sheetFormatPr defaultRowHeight="15"/>
  <cols>
    <col min="1" max="1" width="16.42578125" bestFit="1" customWidth="1"/>
    <col min="2" max="2" width="22.85546875" bestFit="1" customWidth="1"/>
    <col min="3" max="3" width="29.28515625" bestFit="1" customWidth="1"/>
    <col min="4" max="4" width="25.42578125" bestFit="1" customWidth="1"/>
  </cols>
  <sheetData>
    <row r="1" spans="1:4">
      <c r="A1" s="3"/>
    </row>
    <row r="3" spans="1:4">
      <c r="A3" s="10" t="s">
        <v>4</v>
      </c>
    </row>
    <row r="5" spans="1:4" ht="18.75">
      <c r="A5" s="8" t="s">
        <v>5</v>
      </c>
      <c r="B5" s="9" t="s">
        <v>6</v>
      </c>
      <c r="C5" s="9" t="s">
        <v>7</v>
      </c>
      <c r="D5" s="9" t="s">
        <v>8</v>
      </c>
    </row>
    <row r="6" spans="1:4">
      <c r="A6" s="5">
        <v>43220</v>
      </c>
      <c r="B6" s="3">
        <v>384.62</v>
      </c>
      <c r="C6" s="6">
        <v>2.14</v>
      </c>
      <c r="D6" s="6">
        <f>B6*C6</f>
        <v>823.08680000000004</v>
      </c>
    </row>
    <row r="7" spans="1:4">
      <c r="A7" s="7">
        <f>EOMONTH(A6,1)</f>
        <v>43251</v>
      </c>
      <c r="B7" s="3">
        <v>380.41</v>
      </c>
      <c r="C7" s="6">
        <v>2.14</v>
      </c>
      <c r="D7" s="6">
        <f t="shared" ref="D7:D70" si="0">B7*C7</f>
        <v>814.07740000000013</v>
      </c>
    </row>
    <row r="8" spans="1:4">
      <c r="A8" s="7">
        <f t="shared" ref="A8:A71" si="1">EOMONTH(A7,1)</f>
        <v>43281</v>
      </c>
      <c r="B8" s="3">
        <v>438.12</v>
      </c>
      <c r="C8" s="6">
        <v>2.14</v>
      </c>
      <c r="D8" s="6">
        <f t="shared" si="0"/>
        <v>937.57680000000005</v>
      </c>
    </row>
    <row r="9" spans="1:4">
      <c r="A9" s="7">
        <f t="shared" si="1"/>
        <v>43312</v>
      </c>
      <c r="B9" s="3">
        <v>407.57</v>
      </c>
      <c r="C9" s="6">
        <v>2.14</v>
      </c>
      <c r="D9" s="6">
        <f t="shared" si="0"/>
        <v>872.19979999999998</v>
      </c>
    </row>
    <row r="10" spans="1:4">
      <c r="A10" s="7">
        <f t="shared" si="1"/>
        <v>43343</v>
      </c>
      <c r="B10" s="3">
        <v>410.56</v>
      </c>
      <c r="C10" s="6">
        <v>2.14</v>
      </c>
      <c r="D10" s="6">
        <f t="shared" si="0"/>
        <v>878.59840000000008</v>
      </c>
    </row>
    <row r="11" spans="1:4">
      <c r="A11" s="7">
        <f t="shared" si="1"/>
        <v>43373</v>
      </c>
      <c r="B11" s="3">
        <v>383.64</v>
      </c>
      <c r="C11" s="6">
        <v>2.14</v>
      </c>
      <c r="D11" s="6">
        <f t="shared" si="0"/>
        <v>820.9896</v>
      </c>
    </row>
    <row r="12" spans="1:4">
      <c r="A12" s="7">
        <f t="shared" si="1"/>
        <v>43404</v>
      </c>
      <c r="B12" s="3">
        <v>325.95</v>
      </c>
      <c r="C12" s="6">
        <v>2.14</v>
      </c>
      <c r="D12" s="6">
        <f t="shared" si="0"/>
        <v>697.53300000000002</v>
      </c>
    </row>
    <row r="13" spans="1:4">
      <c r="A13" s="7">
        <f t="shared" si="1"/>
        <v>43434</v>
      </c>
      <c r="B13" s="3">
        <v>347.36</v>
      </c>
      <c r="C13" s="6">
        <v>2.14</v>
      </c>
      <c r="D13" s="6">
        <f t="shared" si="0"/>
        <v>743.35040000000004</v>
      </c>
    </row>
    <row r="14" spans="1:4">
      <c r="A14" s="7">
        <f t="shared" si="1"/>
        <v>43465</v>
      </c>
      <c r="B14" s="3">
        <v>363.61</v>
      </c>
      <c r="C14" s="6">
        <v>2.14</v>
      </c>
      <c r="D14" s="6">
        <f t="shared" si="0"/>
        <v>778.12540000000013</v>
      </c>
    </row>
    <row r="15" spans="1:4">
      <c r="A15" s="7">
        <f t="shared" si="1"/>
        <v>43496</v>
      </c>
      <c r="B15" s="3">
        <v>382.19</v>
      </c>
      <c r="C15" s="6">
        <v>2.14</v>
      </c>
      <c r="D15" s="6">
        <f t="shared" si="0"/>
        <v>817.88660000000004</v>
      </c>
    </row>
    <row r="16" spans="1:4">
      <c r="A16" s="7">
        <f t="shared" si="1"/>
        <v>43524</v>
      </c>
      <c r="B16" s="3">
        <v>394.87</v>
      </c>
      <c r="C16" s="6">
        <v>2.14</v>
      </c>
      <c r="D16" s="6">
        <f t="shared" si="0"/>
        <v>845.0218000000001</v>
      </c>
    </row>
    <row r="17" spans="1:4">
      <c r="A17" s="7">
        <f t="shared" si="1"/>
        <v>43555</v>
      </c>
      <c r="B17" s="3">
        <v>432.05</v>
      </c>
      <c r="C17" s="6">
        <v>2.14</v>
      </c>
      <c r="D17" s="6">
        <f t="shared" si="0"/>
        <v>924.5870000000001</v>
      </c>
    </row>
    <row r="18" spans="1:4">
      <c r="A18" s="7">
        <f t="shared" si="1"/>
        <v>43585</v>
      </c>
      <c r="B18" s="3">
        <v>473.92</v>
      </c>
      <c r="C18" s="6">
        <v>2.14</v>
      </c>
      <c r="D18" s="6">
        <f t="shared" si="0"/>
        <v>1014.1888000000001</v>
      </c>
    </row>
    <row r="19" spans="1:4">
      <c r="A19" s="7">
        <f t="shared" si="1"/>
        <v>43616</v>
      </c>
      <c r="B19" s="3">
        <v>424.72</v>
      </c>
      <c r="C19" s="6">
        <v>2.14</v>
      </c>
      <c r="D19" s="6">
        <f t="shared" si="0"/>
        <v>908.90080000000012</v>
      </c>
    </row>
    <row r="20" spans="1:4">
      <c r="A20" s="7">
        <f t="shared" si="1"/>
        <v>43646</v>
      </c>
      <c r="B20" s="3">
        <v>443.38</v>
      </c>
      <c r="C20" s="6">
        <v>2.14</v>
      </c>
      <c r="D20" s="6">
        <f t="shared" si="0"/>
        <v>948.83320000000003</v>
      </c>
    </row>
    <row r="21" spans="1:4">
      <c r="A21" s="7">
        <f t="shared" si="1"/>
        <v>43677</v>
      </c>
      <c r="B21" s="3">
        <v>454.77</v>
      </c>
      <c r="C21" s="6">
        <v>2.14</v>
      </c>
      <c r="D21" s="6">
        <f t="shared" si="0"/>
        <v>973.20780000000002</v>
      </c>
    </row>
    <row r="22" spans="1:4">
      <c r="A22" s="7">
        <f t="shared" si="1"/>
        <v>43708</v>
      </c>
      <c r="B22" s="3">
        <v>447.82</v>
      </c>
      <c r="C22" s="6">
        <v>2.14</v>
      </c>
      <c r="D22" s="6">
        <f t="shared" si="0"/>
        <v>958.33480000000009</v>
      </c>
    </row>
    <row r="23" spans="1:4">
      <c r="A23" s="7">
        <f t="shared" si="1"/>
        <v>43738</v>
      </c>
      <c r="B23" s="3">
        <v>458.92</v>
      </c>
      <c r="C23" s="6">
        <v>2.14</v>
      </c>
      <c r="D23" s="6">
        <f t="shared" si="0"/>
        <v>982.08880000000011</v>
      </c>
    </row>
    <row r="24" spans="1:4">
      <c r="A24" s="7">
        <f t="shared" si="1"/>
        <v>43769</v>
      </c>
      <c r="B24" s="3">
        <v>429.05</v>
      </c>
      <c r="C24" s="6">
        <v>2.14</v>
      </c>
      <c r="D24" s="6">
        <f t="shared" si="0"/>
        <v>918.16700000000003</v>
      </c>
    </row>
    <row r="25" spans="1:4">
      <c r="A25" s="7">
        <f t="shared" si="1"/>
        <v>43799</v>
      </c>
      <c r="B25" s="3">
        <v>418.9</v>
      </c>
      <c r="C25" s="6">
        <v>2.14</v>
      </c>
      <c r="D25" s="6">
        <f t="shared" si="0"/>
        <v>896.44600000000003</v>
      </c>
    </row>
    <row r="26" spans="1:4">
      <c r="A26" s="7">
        <f t="shared" si="1"/>
        <v>43830</v>
      </c>
      <c r="B26" s="3">
        <v>458.08</v>
      </c>
      <c r="C26" s="6">
        <v>2.14</v>
      </c>
      <c r="D26" s="6">
        <f t="shared" si="0"/>
        <v>980.2912</v>
      </c>
    </row>
    <row r="27" spans="1:4">
      <c r="A27" s="7">
        <f t="shared" si="1"/>
        <v>43861</v>
      </c>
      <c r="B27" s="3">
        <v>492.06</v>
      </c>
      <c r="C27" s="6">
        <v>2.14</v>
      </c>
      <c r="D27" s="6">
        <f t="shared" si="0"/>
        <v>1053.0084000000002</v>
      </c>
    </row>
    <row r="28" spans="1:4">
      <c r="A28" s="7">
        <f t="shared" si="1"/>
        <v>43890</v>
      </c>
      <c r="B28" s="3">
        <v>476.1</v>
      </c>
      <c r="C28" s="6">
        <v>2.14</v>
      </c>
      <c r="D28" s="6">
        <f t="shared" si="0"/>
        <v>1018.8540000000002</v>
      </c>
    </row>
    <row r="29" spans="1:4">
      <c r="A29" s="7">
        <f t="shared" si="1"/>
        <v>43921</v>
      </c>
      <c r="B29" s="3">
        <v>510.65</v>
      </c>
      <c r="C29" s="6">
        <v>2.14</v>
      </c>
      <c r="D29" s="6">
        <f t="shared" si="0"/>
        <v>1092.7909999999999</v>
      </c>
    </row>
    <row r="30" spans="1:4">
      <c r="A30" s="7">
        <f t="shared" si="1"/>
        <v>43951</v>
      </c>
      <c r="B30" s="3">
        <v>579.66999999999996</v>
      </c>
      <c r="C30" s="6">
        <v>2.14</v>
      </c>
      <c r="D30" s="6">
        <f t="shared" si="0"/>
        <v>1240.4938</v>
      </c>
    </row>
    <row r="31" spans="1:4">
      <c r="A31" s="7">
        <f t="shared" si="1"/>
        <v>43982</v>
      </c>
      <c r="B31" s="3">
        <v>557.55999999999995</v>
      </c>
      <c r="C31" s="6">
        <v>2.14</v>
      </c>
      <c r="D31" s="6">
        <f t="shared" si="0"/>
        <v>1193.1784</v>
      </c>
    </row>
    <row r="32" spans="1:4">
      <c r="A32" s="7">
        <f t="shared" si="1"/>
        <v>44012</v>
      </c>
      <c r="B32" s="3">
        <v>632.51</v>
      </c>
      <c r="C32" s="6">
        <v>2.14</v>
      </c>
      <c r="D32" s="6">
        <f t="shared" si="0"/>
        <v>1353.5714</v>
      </c>
    </row>
    <row r="33" spans="1:4">
      <c r="A33" s="7">
        <f t="shared" si="1"/>
        <v>44043</v>
      </c>
      <c r="B33" s="3">
        <v>629.37</v>
      </c>
      <c r="C33" s="6">
        <v>2.14</v>
      </c>
      <c r="D33" s="6">
        <f t="shared" si="0"/>
        <v>1346.8518000000001</v>
      </c>
    </row>
    <row r="34" spans="1:4">
      <c r="A34" s="7">
        <f t="shared" si="1"/>
        <v>44074</v>
      </c>
      <c r="B34" s="3">
        <v>618.44000000000005</v>
      </c>
      <c r="C34" s="6">
        <v>2.14</v>
      </c>
      <c r="D34" s="6">
        <f t="shared" si="0"/>
        <v>1323.4616000000001</v>
      </c>
    </row>
    <row r="35" spans="1:4">
      <c r="A35" s="7">
        <f t="shared" si="1"/>
        <v>44104</v>
      </c>
      <c r="B35" s="3">
        <v>591.9</v>
      </c>
      <c r="C35" s="6">
        <v>2.14</v>
      </c>
      <c r="D35" s="6">
        <f t="shared" si="0"/>
        <v>1266.6659999999999</v>
      </c>
    </row>
    <row r="36" spans="1:4">
      <c r="A36" s="7">
        <f t="shared" si="1"/>
        <v>44135</v>
      </c>
      <c r="B36" s="3">
        <v>632.15</v>
      </c>
      <c r="C36" s="6">
        <v>2.14</v>
      </c>
      <c r="D36" s="6">
        <f t="shared" si="0"/>
        <v>1352.8009999999999</v>
      </c>
    </row>
    <row r="37" spans="1:4">
      <c r="A37" s="7">
        <f t="shared" si="1"/>
        <v>44165</v>
      </c>
      <c r="B37" s="3">
        <v>625.67999999999995</v>
      </c>
      <c r="C37" s="6">
        <v>2.14</v>
      </c>
      <c r="D37" s="6">
        <f t="shared" si="0"/>
        <v>1338.9551999999999</v>
      </c>
    </row>
    <row r="38" spans="1:4">
      <c r="A38" s="7">
        <f t="shared" si="1"/>
        <v>44196</v>
      </c>
      <c r="B38" s="3">
        <v>603.78</v>
      </c>
      <c r="C38" s="6">
        <v>2.14</v>
      </c>
      <c r="D38" s="6">
        <f t="shared" si="0"/>
        <v>1292.0892000000001</v>
      </c>
    </row>
    <row r="39" spans="1:4">
      <c r="A39" s="7">
        <f t="shared" si="1"/>
        <v>44227</v>
      </c>
      <c r="B39" s="3">
        <v>695.49</v>
      </c>
      <c r="C39" s="6">
        <v>2.14</v>
      </c>
      <c r="D39" s="6">
        <f t="shared" si="0"/>
        <v>1488.3486</v>
      </c>
    </row>
    <row r="40" spans="1:4">
      <c r="A40" s="7">
        <f t="shared" si="1"/>
        <v>44255</v>
      </c>
      <c r="B40" s="3">
        <v>703.48</v>
      </c>
      <c r="C40" s="6">
        <v>2.14</v>
      </c>
      <c r="D40" s="6">
        <f t="shared" si="0"/>
        <v>1505.4472000000001</v>
      </c>
    </row>
    <row r="41" spans="1:4">
      <c r="A41" s="7">
        <f t="shared" si="1"/>
        <v>44286</v>
      </c>
      <c r="B41" s="3">
        <v>706.23</v>
      </c>
      <c r="C41" s="6">
        <v>2.14</v>
      </c>
      <c r="D41" s="6">
        <f t="shared" si="0"/>
        <v>1511.3322000000001</v>
      </c>
    </row>
    <row r="42" spans="1:4">
      <c r="A42" s="7">
        <f t="shared" si="1"/>
        <v>44316</v>
      </c>
      <c r="B42" s="3">
        <v>661.98</v>
      </c>
      <c r="C42" s="3">
        <v>1.4530000000000001</v>
      </c>
      <c r="D42" s="6">
        <f t="shared" si="0"/>
        <v>961.85694000000012</v>
      </c>
    </row>
    <row r="43" spans="1:4">
      <c r="A43" s="7">
        <f t="shared" si="1"/>
        <v>44347</v>
      </c>
      <c r="B43" s="3">
        <v>609.89</v>
      </c>
      <c r="C43" s="3">
        <v>1.4530000000000001</v>
      </c>
      <c r="D43" s="6">
        <f t="shared" si="0"/>
        <v>886.17016999999998</v>
      </c>
    </row>
    <row r="44" spans="1:4">
      <c r="A44" s="7">
        <f t="shared" si="1"/>
        <v>44377</v>
      </c>
      <c r="B44" s="3">
        <v>599.54</v>
      </c>
      <c r="C44" s="3">
        <v>1.4530000000000001</v>
      </c>
      <c r="D44" s="6">
        <f t="shared" si="0"/>
        <v>871.13162</v>
      </c>
    </row>
    <row r="45" spans="1:4">
      <c r="A45" s="7">
        <f t="shared" si="1"/>
        <v>44408</v>
      </c>
      <c r="B45" s="3">
        <v>564.30999999999995</v>
      </c>
      <c r="C45" s="3">
        <v>1.4530000000000001</v>
      </c>
      <c r="D45" s="6">
        <f t="shared" si="0"/>
        <v>819.94242999999994</v>
      </c>
    </row>
    <row r="46" spans="1:4">
      <c r="A46" s="7">
        <f t="shared" si="1"/>
        <v>44439</v>
      </c>
      <c r="B46" s="3">
        <v>495.92</v>
      </c>
      <c r="C46" s="3">
        <v>1.4530000000000001</v>
      </c>
      <c r="D46" s="6">
        <f t="shared" si="0"/>
        <v>720.57176000000004</v>
      </c>
    </row>
    <row r="47" spans="1:4">
      <c r="A47" s="7">
        <f t="shared" si="1"/>
        <v>44469</v>
      </c>
      <c r="B47" s="3">
        <v>498.44</v>
      </c>
      <c r="C47" s="3">
        <v>1.4530000000000001</v>
      </c>
      <c r="D47" s="6">
        <f t="shared" si="0"/>
        <v>724.23332000000005</v>
      </c>
    </row>
    <row r="48" spans="1:4">
      <c r="A48" s="7">
        <f t="shared" si="1"/>
        <v>44500</v>
      </c>
      <c r="B48" s="3">
        <v>517.95000000000005</v>
      </c>
      <c r="C48" s="3">
        <v>1.4530000000000001</v>
      </c>
      <c r="D48" s="6">
        <f t="shared" si="0"/>
        <v>752.58135000000016</v>
      </c>
    </row>
    <row r="49" spans="1:4">
      <c r="A49" s="7">
        <f t="shared" si="1"/>
        <v>44530</v>
      </c>
      <c r="B49" s="3">
        <v>491.57</v>
      </c>
      <c r="C49" s="3">
        <v>1.4530000000000001</v>
      </c>
      <c r="D49" s="6">
        <f t="shared" si="0"/>
        <v>714.25121000000001</v>
      </c>
    </row>
    <row r="50" spans="1:4">
      <c r="A50" s="7">
        <f t="shared" si="1"/>
        <v>44561</v>
      </c>
      <c r="B50" s="3">
        <v>494.32</v>
      </c>
      <c r="C50" s="3">
        <v>1.4530000000000001</v>
      </c>
      <c r="D50" s="6">
        <f t="shared" si="0"/>
        <v>718.24696000000006</v>
      </c>
    </row>
    <row r="51" spans="1:4">
      <c r="A51" s="7">
        <f t="shared" si="1"/>
        <v>44592</v>
      </c>
      <c r="B51" s="3">
        <v>492.35</v>
      </c>
      <c r="C51" s="3">
        <v>1.4530000000000001</v>
      </c>
      <c r="D51" s="6">
        <f t="shared" si="0"/>
        <v>715.3845500000001</v>
      </c>
    </row>
    <row r="52" spans="1:4">
      <c r="A52" s="7">
        <f t="shared" si="1"/>
        <v>44620</v>
      </c>
      <c r="B52" s="3">
        <v>385.64</v>
      </c>
      <c r="C52" s="3">
        <v>1.4530000000000001</v>
      </c>
      <c r="D52" s="6">
        <f t="shared" si="0"/>
        <v>560.33492000000001</v>
      </c>
    </row>
    <row r="53" spans="1:4">
      <c r="A53" s="7">
        <f t="shared" si="1"/>
        <v>44651</v>
      </c>
      <c r="B53" s="3">
        <v>332.78</v>
      </c>
      <c r="C53" s="3">
        <v>1.4530000000000001</v>
      </c>
      <c r="D53" s="6">
        <f t="shared" si="0"/>
        <v>483.52933999999999</v>
      </c>
    </row>
    <row r="54" spans="1:4">
      <c r="A54" s="7">
        <f t="shared" si="1"/>
        <v>44681</v>
      </c>
      <c r="B54" s="3">
        <v>321.51</v>
      </c>
      <c r="C54" s="3">
        <v>1.042</v>
      </c>
      <c r="D54" s="6">
        <f t="shared" si="0"/>
        <v>335.01342</v>
      </c>
    </row>
    <row r="55" spans="1:4">
      <c r="A55" s="7">
        <f t="shared" si="1"/>
        <v>44712</v>
      </c>
      <c r="B55" s="3">
        <v>342.84</v>
      </c>
      <c r="C55" s="3">
        <v>1.042</v>
      </c>
      <c r="D55" s="6">
        <f t="shared" si="0"/>
        <v>357.23928000000001</v>
      </c>
    </row>
    <row r="56" spans="1:4">
      <c r="A56" s="7">
        <f t="shared" si="1"/>
        <v>44742</v>
      </c>
      <c r="B56" s="3">
        <v>473.48</v>
      </c>
      <c r="C56" s="3">
        <v>1.042</v>
      </c>
      <c r="D56" s="6">
        <f t="shared" si="0"/>
        <v>493.36616000000004</v>
      </c>
    </row>
    <row r="57" spans="1:4">
      <c r="A57" s="7">
        <f t="shared" si="1"/>
        <v>44773</v>
      </c>
      <c r="B57" s="3">
        <v>471.22</v>
      </c>
      <c r="C57" s="3">
        <v>1.042</v>
      </c>
      <c r="D57" s="6">
        <f t="shared" si="0"/>
        <v>491.01124000000004</v>
      </c>
    </row>
    <row r="58" spans="1:4">
      <c r="A58" s="7">
        <f t="shared" si="1"/>
        <v>44804</v>
      </c>
      <c r="B58" s="3">
        <v>485.09</v>
      </c>
      <c r="C58" s="3">
        <v>1.042</v>
      </c>
      <c r="D58" s="6">
        <f t="shared" si="0"/>
        <v>505.46377999999999</v>
      </c>
    </row>
    <row r="59" spans="1:4">
      <c r="A59" s="7">
        <f t="shared" si="1"/>
        <v>44834</v>
      </c>
      <c r="B59" s="3">
        <v>452.6</v>
      </c>
      <c r="C59" s="3">
        <v>1.042</v>
      </c>
      <c r="D59" s="6">
        <f t="shared" si="0"/>
        <v>471.60920000000004</v>
      </c>
    </row>
    <row r="60" spans="1:4">
      <c r="A60" s="7">
        <f t="shared" si="1"/>
        <v>44865</v>
      </c>
      <c r="B60" s="3">
        <v>379.97</v>
      </c>
      <c r="C60" s="3">
        <v>1.042</v>
      </c>
      <c r="D60" s="6">
        <f t="shared" si="0"/>
        <v>395.92874000000006</v>
      </c>
    </row>
    <row r="61" spans="1:4">
      <c r="A61" s="7">
        <f t="shared" si="1"/>
        <v>44895</v>
      </c>
      <c r="B61" s="3">
        <v>527.16</v>
      </c>
      <c r="C61" s="3">
        <v>1.042</v>
      </c>
      <c r="D61" s="6">
        <f t="shared" si="0"/>
        <v>549.30071999999996</v>
      </c>
    </row>
    <row r="62" spans="1:4">
      <c r="A62" s="7">
        <f t="shared" si="1"/>
        <v>44926</v>
      </c>
      <c r="B62" s="3">
        <v>564.80999999999995</v>
      </c>
      <c r="C62" s="3">
        <v>1.042</v>
      </c>
      <c r="D62" s="6">
        <f t="shared" si="0"/>
        <v>588.53201999999999</v>
      </c>
    </row>
    <row r="63" spans="1:4">
      <c r="A63" s="7">
        <f t="shared" si="1"/>
        <v>44957</v>
      </c>
      <c r="B63" s="3">
        <v>669.24</v>
      </c>
      <c r="C63" s="3">
        <v>1.042</v>
      </c>
      <c r="D63" s="6">
        <f t="shared" si="0"/>
        <v>697.34807999999998</v>
      </c>
    </row>
    <row r="64" spans="1:4">
      <c r="A64" s="7">
        <f t="shared" si="1"/>
        <v>44985</v>
      </c>
      <c r="B64" s="3">
        <v>651.34</v>
      </c>
      <c r="C64" s="3">
        <v>1.042</v>
      </c>
      <c r="D64" s="6">
        <f t="shared" si="0"/>
        <v>678.69628</v>
      </c>
    </row>
    <row r="65" spans="1:4">
      <c r="A65" s="7">
        <f t="shared" si="1"/>
        <v>45016</v>
      </c>
      <c r="B65" s="3">
        <v>658.52</v>
      </c>
      <c r="C65" s="3">
        <v>1.042</v>
      </c>
      <c r="D65" s="6">
        <f t="shared" si="0"/>
        <v>686.17784000000006</v>
      </c>
    </row>
    <row r="66" spans="1:4">
      <c r="A66" s="7">
        <f t="shared" si="1"/>
        <v>45046</v>
      </c>
      <c r="B66" s="3">
        <v>652.16999999999996</v>
      </c>
      <c r="C66" s="3">
        <v>0.93300000000000005</v>
      </c>
      <c r="D66" s="6">
        <f t="shared" si="0"/>
        <v>608.47460999999998</v>
      </c>
    </row>
    <row r="67" spans="1:4">
      <c r="A67" s="7">
        <f t="shared" si="1"/>
        <v>45077</v>
      </c>
      <c r="B67" s="3">
        <v>595.30999999999995</v>
      </c>
      <c r="C67" s="3">
        <v>0.93300000000000005</v>
      </c>
      <c r="D67" s="6">
        <f t="shared" si="0"/>
        <v>555.42422999999997</v>
      </c>
    </row>
    <row r="68" spans="1:4">
      <c r="A68" s="7">
        <f t="shared" si="1"/>
        <v>45107</v>
      </c>
      <c r="B68" s="3">
        <v>679.73</v>
      </c>
      <c r="C68" s="3">
        <v>0.93300000000000005</v>
      </c>
      <c r="D68" s="6">
        <f t="shared" si="0"/>
        <v>634.1880900000001</v>
      </c>
    </row>
    <row r="69" spans="1:4">
      <c r="A69" s="7">
        <f t="shared" si="1"/>
        <v>45138</v>
      </c>
      <c r="B69" s="3">
        <v>702.75</v>
      </c>
      <c r="C69" s="3">
        <v>0.93300000000000005</v>
      </c>
      <c r="D69" s="6">
        <f t="shared" si="0"/>
        <v>655.66575</v>
      </c>
    </row>
    <row r="70" spans="1:4">
      <c r="A70" s="7">
        <f t="shared" si="1"/>
        <v>45169</v>
      </c>
      <c r="B70" s="3">
        <v>643.33000000000004</v>
      </c>
      <c r="C70" s="3">
        <v>0.93300000000000005</v>
      </c>
      <c r="D70" s="6">
        <f t="shared" si="0"/>
        <v>600.22689000000003</v>
      </c>
    </row>
    <row r="71" spans="1:4">
      <c r="A71" s="7">
        <f t="shared" si="1"/>
        <v>45199</v>
      </c>
      <c r="B71" s="3">
        <v>605.04999999999995</v>
      </c>
      <c r="C71" s="3">
        <v>0.93300000000000005</v>
      </c>
      <c r="D71" s="6">
        <f t="shared" ref="D71:D89" si="2">B71*C71</f>
        <v>564.51165000000003</v>
      </c>
    </row>
    <row r="72" spans="1:4">
      <c r="A72" s="7">
        <f t="shared" ref="A72:A89" si="3">EOMONTH(A71,1)</f>
        <v>45230</v>
      </c>
      <c r="B72" s="3">
        <v>581.80999999999995</v>
      </c>
      <c r="C72" s="3">
        <v>0.93300000000000005</v>
      </c>
      <c r="D72" s="6">
        <f t="shared" si="2"/>
        <v>542.82872999999995</v>
      </c>
    </row>
    <row r="73" spans="1:4">
      <c r="A73" s="7">
        <f t="shared" si="3"/>
        <v>45260</v>
      </c>
      <c r="B73" s="3">
        <v>694.64</v>
      </c>
      <c r="C73" s="3">
        <v>0.93300000000000005</v>
      </c>
      <c r="D73" s="6">
        <f t="shared" si="2"/>
        <v>648.09911999999997</v>
      </c>
    </row>
    <row r="74" spans="1:4">
      <c r="A74" s="7">
        <f t="shared" si="3"/>
        <v>45291</v>
      </c>
      <c r="B74" s="3">
        <v>625.54</v>
      </c>
      <c r="C74" s="3">
        <v>0.93300000000000005</v>
      </c>
      <c r="D74" s="6">
        <f t="shared" si="2"/>
        <v>583.62882000000002</v>
      </c>
    </row>
    <row r="75" spans="1:4">
      <c r="A75" s="7">
        <f t="shared" si="3"/>
        <v>45322</v>
      </c>
      <c r="B75" s="3">
        <v>627.4</v>
      </c>
      <c r="C75" s="3">
        <v>0.93300000000000005</v>
      </c>
      <c r="D75" s="6">
        <f t="shared" si="2"/>
        <v>585.36419999999998</v>
      </c>
    </row>
    <row r="76" spans="1:4">
      <c r="A76" s="7">
        <f t="shared" si="3"/>
        <v>45351</v>
      </c>
      <c r="B76" s="3">
        <v>630.98</v>
      </c>
      <c r="C76" s="3">
        <v>0.93300000000000005</v>
      </c>
      <c r="D76" s="6">
        <f t="shared" si="2"/>
        <v>588.70434</v>
      </c>
    </row>
    <row r="77" spans="1:4">
      <c r="A77" s="7">
        <f t="shared" si="3"/>
        <v>45382</v>
      </c>
      <c r="B77" s="3">
        <v>671.46</v>
      </c>
      <c r="C77" s="3">
        <v>0.93300000000000005</v>
      </c>
      <c r="D77" s="6">
        <f t="shared" si="2"/>
        <v>626.47218000000009</v>
      </c>
    </row>
    <row r="78" spans="1:4">
      <c r="A78" s="7">
        <f t="shared" si="3"/>
        <v>45412</v>
      </c>
      <c r="B78" s="3">
        <v>721.42</v>
      </c>
      <c r="C78" s="3">
        <v>0.93200000000000005</v>
      </c>
      <c r="D78" s="6">
        <f t="shared" si="2"/>
        <v>672.36343999999997</v>
      </c>
    </row>
    <row r="79" spans="1:4">
      <c r="A79" s="7">
        <f t="shared" si="3"/>
        <v>45443</v>
      </c>
      <c r="B79" s="3">
        <v>745.61</v>
      </c>
      <c r="C79" s="3">
        <v>0.93200000000000005</v>
      </c>
      <c r="D79" s="6">
        <f t="shared" si="2"/>
        <v>694.90852000000007</v>
      </c>
    </row>
    <row r="80" spans="1:4">
      <c r="A80" s="7">
        <f t="shared" si="3"/>
        <v>45473</v>
      </c>
      <c r="B80" s="3">
        <v>713.39</v>
      </c>
      <c r="C80" s="3">
        <v>0.93200000000000005</v>
      </c>
      <c r="D80" s="6">
        <f t="shared" si="2"/>
        <v>664.87948000000006</v>
      </c>
    </row>
    <row r="81" spans="1:4">
      <c r="A81" s="7">
        <f t="shared" si="3"/>
        <v>45504</v>
      </c>
      <c r="B81" s="3">
        <v>704.39</v>
      </c>
      <c r="C81" s="3">
        <v>0.93200000000000005</v>
      </c>
      <c r="D81" s="6">
        <f t="shared" si="2"/>
        <v>656.49148000000002</v>
      </c>
    </row>
    <row r="82" spans="1:4">
      <c r="A82" s="7">
        <f t="shared" si="3"/>
        <v>45535</v>
      </c>
      <c r="B82" s="3">
        <v>735.49</v>
      </c>
      <c r="C82" s="3">
        <v>0.93200000000000005</v>
      </c>
      <c r="D82" s="6">
        <f t="shared" si="2"/>
        <v>685.4766800000001</v>
      </c>
    </row>
    <row r="83" spans="1:4">
      <c r="A83" s="7">
        <f t="shared" si="3"/>
        <v>45565</v>
      </c>
      <c r="B83" s="3">
        <v>838.92</v>
      </c>
      <c r="C83" s="3">
        <v>0.93200000000000005</v>
      </c>
      <c r="D83" s="6">
        <f t="shared" si="2"/>
        <v>781.87343999999996</v>
      </c>
    </row>
    <row r="84" spans="1:4">
      <c r="A84" s="7">
        <f t="shared" si="3"/>
        <v>45596</v>
      </c>
      <c r="B84" s="3">
        <v>828.77</v>
      </c>
      <c r="C84" s="3">
        <v>0.93200000000000005</v>
      </c>
      <c r="D84" s="6">
        <f t="shared" si="2"/>
        <v>772.41363999999999</v>
      </c>
    </row>
    <row r="85" spans="1:4">
      <c r="A85" s="7">
        <f t="shared" si="3"/>
        <v>45626</v>
      </c>
      <c r="B85" s="3">
        <v>813.54</v>
      </c>
      <c r="C85" s="3">
        <v>0.93200000000000005</v>
      </c>
      <c r="D85" s="6">
        <f t="shared" si="2"/>
        <v>758.21928000000003</v>
      </c>
    </row>
    <row r="86" spans="1:4">
      <c r="A86" s="7">
        <f t="shared" si="3"/>
        <v>45657</v>
      </c>
      <c r="B86" s="3">
        <v>834.58</v>
      </c>
      <c r="C86" s="3">
        <v>0.93200000000000005</v>
      </c>
      <c r="D86" s="6">
        <f t="shared" si="2"/>
        <v>777.82856000000004</v>
      </c>
    </row>
    <row r="87" spans="1:4">
      <c r="A87" s="7">
        <f t="shared" si="3"/>
        <v>45688</v>
      </c>
      <c r="B87" s="3">
        <v>789.48</v>
      </c>
      <c r="C87" s="3">
        <v>0.93200000000000005</v>
      </c>
      <c r="D87" s="6">
        <f t="shared" si="2"/>
        <v>735.79536000000007</v>
      </c>
    </row>
    <row r="88" spans="1:4">
      <c r="A88" s="7">
        <f t="shared" si="3"/>
        <v>45716</v>
      </c>
      <c r="B88" s="3">
        <v>886.69</v>
      </c>
      <c r="C88" s="3">
        <v>0.93200000000000005</v>
      </c>
      <c r="D88" s="6">
        <f t="shared" si="2"/>
        <v>826.39508000000012</v>
      </c>
    </row>
    <row r="89" spans="1:4">
      <c r="A89" s="7">
        <f t="shared" si="3"/>
        <v>45747</v>
      </c>
      <c r="B89" s="3">
        <v>903.56</v>
      </c>
      <c r="C89" s="3">
        <v>0.93200000000000005</v>
      </c>
      <c r="D89" s="6">
        <f t="shared" si="2"/>
        <v>842.11792000000003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EBEF2-44CF-4D89-89B6-B3D19ABB0C27}">
  <dimension ref="A3:D89"/>
  <sheetViews>
    <sheetView workbookViewId="0">
      <selection activeCell="G8" sqref="G8"/>
    </sheetView>
  </sheetViews>
  <sheetFormatPr defaultRowHeight="15"/>
  <cols>
    <col min="1" max="1" width="23" bestFit="1" customWidth="1"/>
    <col min="2" max="2" width="26.85546875" bestFit="1" customWidth="1"/>
    <col min="3" max="3" width="30.140625" bestFit="1" customWidth="1"/>
    <col min="4" max="4" width="26.5703125" bestFit="1" customWidth="1"/>
  </cols>
  <sheetData>
    <row r="3" spans="1:4" ht="18.75">
      <c r="A3" s="11" t="s">
        <v>9</v>
      </c>
    </row>
    <row r="5" spans="1:4" ht="18.75">
      <c r="A5" s="12" t="s">
        <v>5</v>
      </c>
      <c r="B5" s="12" t="s">
        <v>10</v>
      </c>
      <c r="C5" s="12" t="s">
        <v>7</v>
      </c>
      <c r="D5" s="12" t="s">
        <v>11</v>
      </c>
    </row>
    <row r="6" spans="1:4">
      <c r="A6" s="5">
        <f>tbl_price_history!A6</f>
        <v>43220</v>
      </c>
      <c r="B6" s="3">
        <v>346.11</v>
      </c>
      <c r="C6" s="3">
        <v>9.0809999999999995</v>
      </c>
      <c r="D6" s="6">
        <f>B6*C6</f>
        <v>3143.0249100000001</v>
      </c>
    </row>
    <row r="7" spans="1:4">
      <c r="A7" s="5">
        <f>tbl_price_history!A7</f>
        <v>43251</v>
      </c>
      <c r="B7" s="3">
        <v>353.36</v>
      </c>
      <c r="C7" s="3">
        <v>9.0809999999999995</v>
      </c>
      <c r="D7" s="6">
        <f t="shared" ref="D7:D70" si="0">B7*C7</f>
        <v>3208.8621600000001</v>
      </c>
    </row>
    <row r="8" spans="1:4">
      <c r="A8" s="5">
        <f>tbl_price_history!A8</f>
        <v>43281</v>
      </c>
      <c r="B8" s="3">
        <v>349.4</v>
      </c>
      <c r="C8" s="3">
        <v>9.0809999999999995</v>
      </c>
      <c r="D8" s="6">
        <f t="shared" si="0"/>
        <v>3172.9013999999997</v>
      </c>
    </row>
    <row r="9" spans="1:4">
      <c r="A9" s="5">
        <f>tbl_price_history!A9</f>
        <v>43312</v>
      </c>
      <c r="B9" s="3">
        <v>315.14999999999998</v>
      </c>
      <c r="C9" s="3">
        <v>9.0809999999999995</v>
      </c>
      <c r="D9" s="6">
        <f t="shared" si="0"/>
        <v>2861.8771499999998</v>
      </c>
    </row>
    <row r="10" spans="1:4">
      <c r="A10" s="5">
        <f>tbl_price_history!A10</f>
        <v>43343</v>
      </c>
      <c r="B10" s="3">
        <v>301.66000000000003</v>
      </c>
      <c r="C10" s="3">
        <v>9.0809999999999995</v>
      </c>
      <c r="D10" s="6">
        <f t="shared" si="0"/>
        <v>2739.37446</v>
      </c>
    </row>
    <row r="11" spans="1:4">
      <c r="A11" s="5">
        <f>tbl_price_history!A11</f>
        <v>43373</v>
      </c>
      <c r="B11" s="3">
        <v>286.76</v>
      </c>
      <c r="C11" s="3">
        <v>9.0809999999999995</v>
      </c>
      <c r="D11" s="6">
        <f t="shared" si="0"/>
        <v>2604.06756</v>
      </c>
    </row>
    <row r="12" spans="1:4">
      <c r="A12" s="5">
        <f>tbl_price_history!A12</f>
        <v>43404</v>
      </c>
      <c r="B12" s="3">
        <v>236.89</v>
      </c>
      <c r="C12" s="3">
        <v>9.0809999999999995</v>
      </c>
      <c r="D12" s="6">
        <f t="shared" si="0"/>
        <v>2151.1980899999999</v>
      </c>
    </row>
    <row r="13" spans="1:4">
      <c r="A13" s="5">
        <f>tbl_price_history!A13</f>
        <v>43434</v>
      </c>
      <c r="B13" s="3">
        <v>276.82</v>
      </c>
      <c r="C13" s="3">
        <v>9.0809999999999995</v>
      </c>
      <c r="D13" s="6">
        <f t="shared" si="0"/>
        <v>2513.80242</v>
      </c>
    </row>
    <row r="14" spans="1:4">
      <c r="A14" s="5">
        <f>tbl_price_history!A14</f>
        <v>43465</v>
      </c>
      <c r="B14" s="3">
        <v>278.58999999999997</v>
      </c>
      <c r="C14" s="3">
        <v>9.0809999999999995</v>
      </c>
      <c r="D14" s="6">
        <f t="shared" si="0"/>
        <v>2529.8757899999996</v>
      </c>
    </row>
    <row r="15" spans="1:4">
      <c r="A15" s="5">
        <f>tbl_price_history!A15</f>
        <v>43496</v>
      </c>
      <c r="B15" s="3">
        <v>306.99</v>
      </c>
      <c r="C15" s="3">
        <v>9.0809999999999995</v>
      </c>
      <c r="D15" s="6">
        <f t="shared" si="0"/>
        <v>2787.77619</v>
      </c>
    </row>
    <row r="16" spans="1:4">
      <c r="A16" s="5">
        <f>tbl_price_history!A16</f>
        <v>43524</v>
      </c>
      <c r="B16" s="3">
        <v>297.94</v>
      </c>
      <c r="C16" s="3">
        <v>9.0809999999999995</v>
      </c>
      <c r="D16" s="6">
        <f t="shared" si="0"/>
        <v>2705.5931399999999</v>
      </c>
    </row>
    <row r="17" spans="1:4">
      <c r="A17" s="5">
        <f>tbl_price_history!A17</f>
        <v>43555</v>
      </c>
      <c r="B17" s="3">
        <v>320.29000000000002</v>
      </c>
      <c r="C17" s="3">
        <v>9.0809999999999995</v>
      </c>
      <c r="D17" s="6">
        <f t="shared" si="0"/>
        <v>2908.5534900000002</v>
      </c>
    </row>
    <row r="18" spans="1:4">
      <c r="A18" s="5">
        <f>tbl_price_history!A18</f>
        <v>43585</v>
      </c>
      <c r="B18" s="3">
        <v>344.24</v>
      </c>
      <c r="C18" s="3">
        <v>9.0809999999999995</v>
      </c>
      <c r="D18" s="6">
        <f t="shared" si="0"/>
        <v>3126.0434399999999</v>
      </c>
    </row>
    <row r="19" spans="1:4">
      <c r="A19" s="5">
        <f>tbl_price_history!A19</f>
        <v>43616</v>
      </c>
      <c r="B19" s="3">
        <v>289.24</v>
      </c>
      <c r="C19" s="3">
        <v>9.0809999999999995</v>
      </c>
      <c r="D19" s="6">
        <f t="shared" si="0"/>
        <v>2626.58844</v>
      </c>
    </row>
    <row r="20" spans="1:4">
      <c r="A20" s="5">
        <f>tbl_price_history!A20</f>
        <v>43646</v>
      </c>
      <c r="B20" s="3">
        <v>313.77</v>
      </c>
      <c r="C20" s="3">
        <v>9.0809999999999995</v>
      </c>
      <c r="D20" s="6">
        <f t="shared" si="0"/>
        <v>2849.3453699999995</v>
      </c>
    </row>
    <row r="21" spans="1:4">
      <c r="A21" s="5">
        <f>tbl_price_history!A21</f>
        <v>43677</v>
      </c>
      <c r="B21" s="3">
        <v>327.64999999999998</v>
      </c>
      <c r="C21" s="3">
        <v>9.0809999999999995</v>
      </c>
      <c r="D21" s="6">
        <f t="shared" si="0"/>
        <v>2975.3896499999996</v>
      </c>
    </row>
    <row r="22" spans="1:4">
      <c r="A22" s="5">
        <f>tbl_price_history!A22</f>
        <v>43708</v>
      </c>
      <c r="B22" s="3">
        <v>289.02999999999997</v>
      </c>
      <c r="C22" s="3">
        <v>9.0809999999999995</v>
      </c>
      <c r="D22" s="6">
        <f t="shared" si="0"/>
        <v>2624.6814299999996</v>
      </c>
    </row>
    <row r="23" spans="1:4">
      <c r="A23" s="5">
        <f>tbl_price_history!A23</f>
        <v>43738</v>
      </c>
      <c r="B23" s="3">
        <v>293.83999999999997</v>
      </c>
      <c r="C23" s="3">
        <v>9.0809999999999995</v>
      </c>
      <c r="D23" s="6">
        <f t="shared" si="0"/>
        <v>2668.3610399999998</v>
      </c>
    </row>
    <row r="24" spans="1:4">
      <c r="A24" s="5">
        <f>tbl_price_history!A24</f>
        <v>43769</v>
      </c>
      <c r="B24" s="3">
        <v>285.47000000000003</v>
      </c>
      <c r="C24" s="3">
        <v>9.0809999999999995</v>
      </c>
      <c r="D24" s="6">
        <f t="shared" si="0"/>
        <v>2592.3530700000001</v>
      </c>
    </row>
    <row r="25" spans="1:4">
      <c r="A25" s="5">
        <f>tbl_price_history!A25</f>
        <v>43799</v>
      </c>
      <c r="B25" s="3">
        <v>295.26</v>
      </c>
      <c r="C25" s="3">
        <v>9.0809999999999995</v>
      </c>
      <c r="D25" s="6">
        <f t="shared" si="0"/>
        <v>2681.2560599999997</v>
      </c>
    </row>
    <row r="26" spans="1:4">
      <c r="A26" s="5">
        <f>tbl_price_history!A26</f>
        <v>43830</v>
      </c>
      <c r="B26" s="3">
        <v>334.24</v>
      </c>
      <c r="C26" s="3">
        <v>9.0809999999999995</v>
      </c>
      <c r="D26" s="6">
        <f t="shared" si="0"/>
        <v>3035.23344</v>
      </c>
    </row>
    <row r="27" spans="1:4">
      <c r="A27" s="5">
        <f>tbl_price_history!A27</f>
        <v>43861</v>
      </c>
      <c r="B27" s="3">
        <v>331.93</v>
      </c>
      <c r="C27" s="3">
        <v>9.0809999999999995</v>
      </c>
      <c r="D27" s="6">
        <f t="shared" si="0"/>
        <v>3014.2563299999997</v>
      </c>
    </row>
    <row r="28" spans="1:4">
      <c r="A28" s="5">
        <f>tbl_price_history!A28</f>
        <v>43890</v>
      </c>
      <c r="B28" s="3">
        <v>343.49</v>
      </c>
      <c r="C28" s="3">
        <v>9.0809999999999995</v>
      </c>
      <c r="D28" s="6">
        <f t="shared" si="0"/>
        <v>3119.2326899999998</v>
      </c>
    </row>
    <row r="29" spans="1:4">
      <c r="A29" s="5">
        <f>tbl_price_history!A29</f>
        <v>43921</v>
      </c>
      <c r="B29" s="3">
        <v>338.33</v>
      </c>
      <c r="C29" s="3">
        <v>9.0809999999999995</v>
      </c>
      <c r="D29" s="6">
        <f t="shared" si="0"/>
        <v>3072.3747299999995</v>
      </c>
    </row>
    <row r="30" spans="1:4">
      <c r="A30" s="5">
        <f>tbl_price_history!A30</f>
        <v>43951</v>
      </c>
      <c r="B30" s="3">
        <v>371.08</v>
      </c>
      <c r="C30" s="3">
        <v>9.0809999999999995</v>
      </c>
      <c r="D30" s="6">
        <f t="shared" si="0"/>
        <v>3369.7774799999997</v>
      </c>
    </row>
    <row r="31" spans="1:4">
      <c r="A31" s="5">
        <f>tbl_price_history!A31</f>
        <v>43982</v>
      </c>
      <c r="B31" s="3">
        <v>365.21</v>
      </c>
      <c r="C31" s="3">
        <v>9.0809999999999995</v>
      </c>
      <c r="D31" s="6">
        <f t="shared" si="0"/>
        <v>3316.4720099999995</v>
      </c>
    </row>
    <row r="32" spans="1:4">
      <c r="A32" s="5">
        <f>tbl_price_history!A32</f>
        <v>44012</v>
      </c>
      <c r="B32" s="3">
        <v>445.04</v>
      </c>
      <c r="C32" s="3">
        <v>9.0809999999999995</v>
      </c>
      <c r="D32" s="6">
        <f t="shared" si="0"/>
        <v>4041.4082399999998</v>
      </c>
    </row>
    <row r="33" spans="1:4">
      <c r="A33" s="5">
        <f>tbl_price_history!A33</f>
        <v>44043</v>
      </c>
      <c r="B33" s="3">
        <v>476.64</v>
      </c>
      <c r="C33" s="3">
        <v>9.0809999999999995</v>
      </c>
      <c r="D33" s="6">
        <f t="shared" si="0"/>
        <v>4328.3678399999999</v>
      </c>
    </row>
    <row r="34" spans="1:4">
      <c r="A34" s="5">
        <f>tbl_price_history!A34</f>
        <v>44074</v>
      </c>
      <c r="B34" s="3">
        <v>473.51</v>
      </c>
      <c r="C34" s="3">
        <v>9.0809999999999995</v>
      </c>
      <c r="D34" s="6">
        <f t="shared" si="0"/>
        <v>4299.9443099999999</v>
      </c>
    </row>
    <row r="35" spans="1:4">
      <c r="A35" s="5">
        <f>tbl_price_history!A35</f>
        <v>44104</v>
      </c>
      <c r="B35" s="3">
        <v>456.55</v>
      </c>
      <c r="C35" s="3">
        <v>9.0809999999999995</v>
      </c>
      <c r="D35" s="6">
        <f t="shared" si="0"/>
        <v>4145.93055</v>
      </c>
    </row>
    <row r="36" spans="1:4">
      <c r="A36" s="5">
        <f>tbl_price_history!A36</f>
        <v>44135</v>
      </c>
      <c r="B36" s="3">
        <v>527.51</v>
      </c>
      <c r="C36" s="3">
        <v>9.0809999999999995</v>
      </c>
      <c r="D36" s="6">
        <f t="shared" si="0"/>
        <v>4790.3183099999997</v>
      </c>
    </row>
    <row r="37" spans="1:4">
      <c r="A37" s="5">
        <f>tbl_price_history!A37</f>
        <v>44165</v>
      </c>
      <c r="B37" s="3">
        <v>502.52</v>
      </c>
      <c r="C37" s="3">
        <v>9.0809999999999995</v>
      </c>
      <c r="D37" s="6">
        <f t="shared" si="0"/>
        <v>4563.3841199999997</v>
      </c>
    </row>
    <row r="38" spans="1:4">
      <c r="A38" s="5">
        <f>tbl_price_history!A38</f>
        <v>44196</v>
      </c>
      <c r="B38" s="3">
        <v>505.2</v>
      </c>
      <c r="C38" s="3">
        <v>9.0809999999999995</v>
      </c>
      <c r="D38" s="6">
        <f t="shared" si="0"/>
        <v>4587.7212</v>
      </c>
    </row>
    <row r="39" spans="1:4">
      <c r="A39" s="5">
        <f>tbl_price_history!A39</f>
        <v>44227</v>
      </c>
      <c r="B39" s="3">
        <v>608.29</v>
      </c>
      <c r="C39" s="3">
        <v>9.0809999999999995</v>
      </c>
      <c r="D39" s="6">
        <f t="shared" si="0"/>
        <v>5523.8814899999998</v>
      </c>
    </row>
    <row r="40" spans="1:4">
      <c r="A40" s="5">
        <f>tbl_price_history!A40</f>
        <v>44255</v>
      </c>
      <c r="B40" s="3">
        <v>591.33000000000004</v>
      </c>
      <c r="C40" s="3">
        <v>9.0809999999999995</v>
      </c>
      <c r="D40" s="6">
        <f t="shared" si="0"/>
        <v>5369.8677299999999</v>
      </c>
    </row>
    <row r="41" spans="1:4">
      <c r="A41" s="5">
        <f>tbl_price_history!A41</f>
        <v>44286</v>
      </c>
      <c r="B41" s="3">
        <v>544.47</v>
      </c>
      <c r="C41" s="3">
        <v>9.0809999999999995</v>
      </c>
      <c r="D41" s="6">
        <f t="shared" si="0"/>
        <v>4944.3320700000004</v>
      </c>
    </row>
    <row r="42" spans="1:4">
      <c r="A42" s="5">
        <f>tbl_price_history!A42</f>
        <v>44316</v>
      </c>
      <c r="B42" s="3">
        <v>556.08000000000004</v>
      </c>
      <c r="C42" s="3">
        <v>9.0809999999999995</v>
      </c>
      <c r="D42" s="6">
        <f t="shared" si="0"/>
        <v>5049.7624800000003</v>
      </c>
    </row>
    <row r="43" spans="1:4">
      <c r="A43" s="5">
        <f>tbl_price_history!A43</f>
        <v>44347</v>
      </c>
      <c r="B43" s="3">
        <v>552.51</v>
      </c>
      <c r="C43" s="3">
        <v>9.0809999999999995</v>
      </c>
      <c r="D43" s="6">
        <f t="shared" si="0"/>
        <v>5017.3433099999993</v>
      </c>
    </row>
    <row r="44" spans="1:4">
      <c r="A44" s="5">
        <f>tbl_price_history!A44</f>
        <v>44377</v>
      </c>
      <c r="B44" s="3">
        <v>522.80999999999995</v>
      </c>
      <c r="C44" s="3">
        <v>9.0809999999999995</v>
      </c>
      <c r="D44" s="6">
        <f t="shared" si="0"/>
        <v>4747.6376099999989</v>
      </c>
    </row>
    <row r="45" spans="1:4">
      <c r="A45" s="5">
        <f>tbl_price_history!A45</f>
        <v>44408</v>
      </c>
      <c r="B45" s="3">
        <v>428.81</v>
      </c>
      <c r="C45" s="3">
        <v>9.0809999999999995</v>
      </c>
      <c r="D45" s="6">
        <f t="shared" si="0"/>
        <v>3894.0236099999997</v>
      </c>
    </row>
    <row r="46" spans="1:4">
      <c r="A46" s="5">
        <f>tbl_price_history!A46</f>
        <v>44439</v>
      </c>
      <c r="B46" s="3">
        <v>430.78</v>
      </c>
      <c r="C46" s="3">
        <v>9.0809999999999995</v>
      </c>
      <c r="D46" s="6">
        <f t="shared" si="0"/>
        <v>3911.9131799999996</v>
      </c>
    </row>
    <row r="47" spans="1:4">
      <c r="A47" s="5">
        <f>tbl_price_history!A47</f>
        <v>44469</v>
      </c>
      <c r="B47" s="3">
        <v>413.05</v>
      </c>
      <c r="C47" s="3">
        <v>9.0809999999999995</v>
      </c>
      <c r="D47" s="6">
        <f t="shared" si="0"/>
        <v>3750.9070499999998</v>
      </c>
    </row>
    <row r="48" spans="1:4">
      <c r="A48" s="5">
        <f>tbl_price_history!A48</f>
        <v>44500</v>
      </c>
      <c r="B48" s="3">
        <v>430.6</v>
      </c>
      <c r="C48" s="3">
        <v>9.0809999999999995</v>
      </c>
      <c r="D48" s="6">
        <f t="shared" si="0"/>
        <v>3910.2786000000001</v>
      </c>
    </row>
    <row r="49" spans="1:4">
      <c r="A49" s="5">
        <f>tbl_price_history!A49</f>
        <v>44530</v>
      </c>
      <c r="B49" s="3">
        <v>411.26</v>
      </c>
      <c r="C49" s="3">
        <v>9.0809999999999995</v>
      </c>
      <c r="D49" s="6">
        <f t="shared" si="0"/>
        <v>3734.6520599999999</v>
      </c>
    </row>
    <row r="50" spans="1:4">
      <c r="A50" s="5">
        <f>tbl_price_history!A50</f>
        <v>44561</v>
      </c>
      <c r="B50" s="3">
        <v>408.94</v>
      </c>
      <c r="C50" s="3">
        <v>9.0809999999999995</v>
      </c>
      <c r="D50" s="6">
        <f t="shared" si="0"/>
        <v>3713.5841399999999</v>
      </c>
    </row>
    <row r="51" spans="1:4">
      <c r="A51" s="5">
        <f>tbl_price_history!A51</f>
        <v>44592</v>
      </c>
      <c r="B51" s="3">
        <v>434.6</v>
      </c>
      <c r="C51" s="3">
        <v>9.0809999999999995</v>
      </c>
      <c r="D51" s="6">
        <f t="shared" si="0"/>
        <v>3946.6026000000002</v>
      </c>
    </row>
    <row r="52" spans="1:4">
      <c r="A52" s="5">
        <f>tbl_price_history!A52</f>
        <v>44620</v>
      </c>
      <c r="B52" s="3">
        <v>388.48</v>
      </c>
      <c r="C52" s="3">
        <v>9.0809999999999995</v>
      </c>
      <c r="D52" s="6">
        <f t="shared" si="0"/>
        <v>3527.7868800000001</v>
      </c>
    </row>
    <row r="53" spans="1:4">
      <c r="A53" s="5">
        <f>tbl_price_history!A53</f>
        <v>44651</v>
      </c>
      <c r="B53" s="3">
        <v>345.14</v>
      </c>
      <c r="C53" s="3">
        <v>9.0809999999999995</v>
      </c>
      <c r="D53" s="6">
        <f t="shared" si="0"/>
        <v>3134.2163399999995</v>
      </c>
    </row>
    <row r="54" spans="1:4">
      <c r="A54" s="5">
        <f>tbl_price_history!A54</f>
        <v>44681</v>
      </c>
      <c r="B54" s="3">
        <v>348.09</v>
      </c>
      <c r="C54" s="3">
        <v>9.0809999999999995</v>
      </c>
      <c r="D54" s="6">
        <f t="shared" si="0"/>
        <v>3161.0052899999996</v>
      </c>
    </row>
    <row r="55" spans="1:4">
      <c r="A55" s="5">
        <f>tbl_price_history!A55</f>
        <v>44712</v>
      </c>
      <c r="B55" s="3">
        <v>334.25</v>
      </c>
      <c r="C55" s="3">
        <v>9.0809999999999995</v>
      </c>
      <c r="D55" s="6">
        <f t="shared" si="0"/>
        <v>3035.3242499999997</v>
      </c>
    </row>
    <row r="56" spans="1:4">
      <c r="A56" s="5">
        <f>tbl_price_history!A56</f>
        <v>44742</v>
      </c>
      <c r="B56" s="3">
        <v>328.49</v>
      </c>
      <c r="C56" s="3">
        <v>9.0809999999999995</v>
      </c>
      <c r="D56" s="6">
        <f t="shared" si="0"/>
        <v>2983.0176900000001</v>
      </c>
    </row>
    <row r="57" spans="1:4">
      <c r="A57" s="5">
        <f>tbl_price_history!A57</f>
        <v>44773</v>
      </c>
      <c r="B57" s="3">
        <v>284.37</v>
      </c>
      <c r="C57" s="3">
        <v>9.0809999999999995</v>
      </c>
      <c r="D57" s="6">
        <f t="shared" si="0"/>
        <v>2582.3639699999999</v>
      </c>
    </row>
    <row r="58" spans="1:4">
      <c r="A58" s="5">
        <f>tbl_price_history!A58</f>
        <v>44804</v>
      </c>
      <c r="B58" s="3">
        <v>303.27999999999997</v>
      </c>
      <c r="C58" s="3">
        <v>9.0809999999999995</v>
      </c>
      <c r="D58" s="6">
        <f t="shared" si="0"/>
        <v>2754.0856799999997</v>
      </c>
    </row>
    <row r="59" spans="1:4">
      <c r="A59" s="5">
        <f>tbl_price_history!A59</f>
        <v>44834</v>
      </c>
      <c r="B59" s="3">
        <v>246.93</v>
      </c>
      <c r="C59" s="3">
        <v>9.0809999999999995</v>
      </c>
      <c r="D59" s="6">
        <f t="shared" si="0"/>
        <v>2242.3713299999999</v>
      </c>
    </row>
    <row r="60" spans="1:4">
      <c r="A60" s="5">
        <f>tbl_price_history!A60</f>
        <v>44865</v>
      </c>
      <c r="B60" s="3">
        <v>190.57</v>
      </c>
      <c r="C60" s="3">
        <v>9.0809999999999995</v>
      </c>
      <c r="D60" s="6">
        <f t="shared" si="0"/>
        <v>1730.5661699999998</v>
      </c>
    </row>
    <row r="61" spans="1:4">
      <c r="A61" s="5">
        <f>tbl_price_history!A61</f>
        <v>44895</v>
      </c>
      <c r="B61" s="3">
        <v>266.20999999999998</v>
      </c>
      <c r="C61" s="3">
        <v>9.0809999999999995</v>
      </c>
      <c r="D61" s="6">
        <f t="shared" si="0"/>
        <v>2417.4530099999997</v>
      </c>
    </row>
    <row r="62" spans="1:4">
      <c r="A62" s="5">
        <f>tbl_price_history!A62</f>
        <v>44926</v>
      </c>
      <c r="B62" s="3">
        <v>309.58999999999997</v>
      </c>
      <c r="C62" s="3">
        <v>9.0809999999999995</v>
      </c>
      <c r="D62" s="6">
        <f t="shared" si="0"/>
        <v>2811.3867899999996</v>
      </c>
    </row>
    <row r="63" spans="1:4">
      <c r="A63" s="5">
        <f>tbl_price_history!A63</f>
        <v>44957</v>
      </c>
      <c r="B63" s="3">
        <v>372.99</v>
      </c>
      <c r="C63" s="3">
        <v>9.0809999999999995</v>
      </c>
      <c r="D63" s="6">
        <f t="shared" si="0"/>
        <v>3387.12219</v>
      </c>
    </row>
    <row r="64" spans="1:4">
      <c r="A64" s="5">
        <f>tbl_price_history!A64</f>
        <v>44985</v>
      </c>
      <c r="B64" s="3">
        <v>335.32</v>
      </c>
      <c r="C64" s="3">
        <v>9.0809999999999995</v>
      </c>
      <c r="D64" s="6">
        <f t="shared" si="0"/>
        <v>3045.0409199999999</v>
      </c>
    </row>
    <row r="65" spans="1:4">
      <c r="A65" s="5">
        <f>tbl_price_history!A65</f>
        <v>45016</v>
      </c>
      <c r="B65" s="3">
        <v>376.51</v>
      </c>
      <c r="C65" s="3">
        <v>9.0809999999999995</v>
      </c>
      <c r="D65" s="6">
        <f t="shared" si="0"/>
        <v>3419.0873099999999</v>
      </c>
    </row>
    <row r="66" spans="1:4">
      <c r="A66" s="5">
        <f>tbl_price_history!A66</f>
        <v>45046</v>
      </c>
      <c r="B66" s="3">
        <v>336.11</v>
      </c>
      <c r="C66" s="3">
        <v>9.0809999999999995</v>
      </c>
      <c r="D66" s="6">
        <f t="shared" si="0"/>
        <v>3052.2149100000001</v>
      </c>
    </row>
    <row r="67" spans="1:4">
      <c r="A67" s="5">
        <f>tbl_price_history!A67</f>
        <v>45077</v>
      </c>
      <c r="B67" s="3">
        <v>303.12</v>
      </c>
      <c r="C67" s="3">
        <v>9.0809999999999995</v>
      </c>
      <c r="D67" s="6">
        <f t="shared" si="0"/>
        <v>2752.6327200000001</v>
      </c>
    </row>
    <row r="68" spans="1:4">
      <c r="A68" s="5">
        <f>tbl_price_history!A68</f>
        <v>45107</v>
      </c>
      <c r="B68" s="3">
        <v>325.92</v>
      </c>
      <c r="C68" s="3">
        <v>9.0809999999999995</v>
      </c>
      <c r="D68" s="6">
        <f t="shared" si="0"/>
        <v>2959.6795200000001</v>
      </c>
    </row>
    <row r="69" spans="1:4">
      <c r="A69" s="5">
        <f>tbl_price_history!A69</f>
        <v>45138</v>
      </c>
      <c r="B69" s="3">
        <v>348.32</v>
      </c>
      <c r="C69" s="3">
        <v>9.0809999999999995</v>
      </c>
      <c r="D69" s="6">
        <f t="shared" si="0"/>
        <v>3163.0939199999998</v>
      </c>
    </row>
    <row r="70" spans="1:4">
      <c r="A70" s="5">
        <f>tbl_price_history!A70</f>
        <v>45169</v>
      </c>
      <c r="B70" s="3">
        <v>319.43</v>
      </c>
      <c r="C70" s="3">
        <v>9.0809999999999995</v>
      </c>
      <c r="D70" s="6">
        <f t="shared" si="0"/>
        <v>2900.7438299999999</v>
      </c>
    </row>
    <row r="71" spans="1:4">
      <c r="A71" s="5">
        <f>tbl_price_history!A71</f>
        <v>45199</v>
      </c>
      <c r="B71" s="3">
        <v>300.95</v>
      </c>
      <c r="C71" s="3">
        <v>9.0809999999999995</v>
      </c>
      <c r="D71" s="6">
        <f t="shared" ref="D71:D89" si="1">B71*C71</f>
        <v>2732.9269499999996</v>
      </c>
    </row>
    <row r="72" spans="1:4">
      <c r="A72" s="5">
        <f>tbl_price_history!A72</f>
        <v>45230</v>
      </c>
      <c r="B72" s="3">
        <v>284.24</v>
      </c>
      <c r="C72" s="3">
        <v>9.0809999999999995</v>
      </c>
      <c r="D72" s="6">
        <f t="shared" si="1"/>
        <v>2581.1834399999998</v>
      </c>
    </row>
    <row r="73" spans="1:4">
      <c r="A73" s="5">
        <f>tbl_price_history!A73</f>
        <v>45260</v>
      </c>
      <c r="B73" s="3">
        <v>321.39</v>
      </c>
      <c r="C73" s="3">
        <v>9.0809999999999995</v>
      </c>
      <c r="D73" s="6">
        <f t="shared" si="1"/>
        <v>2918.5425899999996</v>
      </c>
    </row>
    <row r="74" spans="1:4">
      <c r="A74" s="5">
        <f>tbl_price_history!A74</f>
        <v>45291</v>
      </c>
      <c r="B74" s="3">
        <v>288.57</v>
      </c>
      <c r="C74" s="3">
        <v>9.0809999999999995</v>
      </c>
      <c r="D74" s="6">
        <f t="shared" si="1"/>
        <v>2620.5041699999997</v>
      </c>
    </row>
    <row r="75" spans="1:4">
      <c r="A75" s="5">
        <f>tbl_price_history!A75</f>
        <v>45322</v>
      </c>
      <c r="B75" s="3">
        <v>265.95999999999998</v>
      </c>
      <c r="C75" s="3">
        <v>9.0809999999999995</v>
      </c>
      <c r="D75" s="6">
        <f t="shared" si="1"/>
        <v>2415.1827599999997</v>
      </c>
    </row>
    <row r="76" spans="1:4">
      <c r="A76" s="5">
        <f>tbl_price_history!A76</f>
        <v>45351</v>
      </c>
      <c r="B76" s="3">
        <v>272.45</v>
      </c>
      <c r="C76" s="3">
        <v>9.0809999999999995</v>
      </c>
      <c r="D76" s="6">
        <f t="shared" si="1"/>
        <v>2474.1184499999999</v>
      </c>
    </row>
    <row r="77" spans="1:4">
      <c r="A77" s="5">
        <f>tbl_price_history!A77</f>
        <v>45382</v>
      </c>
      <c r="B77" s="3">
        <v>298.58999999999997</v>
      </c>
      <c r="C77" s="3">
        <v>9.0809999999999995</v>
      </c>
      <c r="D77" s="6">
        <f t="shared" si="1"/>
        <v>2711.4957899999995</v>
      </c>
    </row>
    <row r="78" spans="1:4">
      <c r="A78" s="5">
        <f>tbl_price_history!A78</f>
        <v>45412</v>
      </c>
      <c r="B78" s="3">
        <v>341.25</v>
      </c>
      <c r="C78" s="3">
        <v>9.0809999999999995</v>
      </c>
      <c r="D78" s="6">
        <f t="shared" si="1"/>
        <v>3098.8912499999997</v>
      </c>
    </row>
    <row r="79" spans="1:4">
      <c r="A79" s="5">
        <f>tbl_price_history!A79</f>
        <v>45443</v>
      </c>
      <c r="B79" s="3">
        <v>353.63</v>
      </c>
      <c r="C79" s="3">
        <v>9.0809999999999995</v>
      </c>
      <c r="D79" s="6">
        <f t="shared" si="1"/>
        <v>3211.31403</v>
      </c>
    </row>
    <row r="80" spans="1:4">
      <c r="A80" s="5">
        <f>tbl_price_history!A80</f>
        <v>45473</v>
      </c>
      <c r="B80" s="3">
        <v>369.18</v>
      </c>
      <c r="C80" s="3">
        <v>9.0809999999999995</v>
      </c>
      <c r="D80" s="6">
        <f t="shared" si="1"/>
        <v>3352.52358</v>
      </c>
    </row>
    <row r="81" spans="1:4">
      <c r="A81" s="5">
        <f>tbl_price_history!A81</f>
        <v>45504</v>
      </c>
      <c r="B81" s="3">
        <v>359.07</v>
      </c>
      <c r="C81" s="3">
        <v>9.0809999999999995</v>
      </c>
      <c r="D81" s="6">
        <f t="shared" si="1"/>
        <v>3260.7146699999998</v>
      </c>
    </row>
    <row r="82" spans="1:4">
      <c r="A82" s="5">
        <f>tbl_price_history!A82</f>
        <v>45535</v>
      </c>
      <c r="B82" s="3">
        <v>378.69</v>
      </c>
      <c r="C82" s="3">
        <v>9.0809999999999995</v>
      </c>
      <c r="D82" s="6">
        <f t="shared" si="1"/>
        <v>3438.8838899999996</v>
      </c>
    </row>
    <row r="83" spans="1:4">
      <c r="A83" s="5">
        <f>tbl_price_history!A83</f>
        <v>45565</v>
      </c>
      <c r="B83" s="3">
        <v>440.75</v>
      </c>
      <c r="C83" s="3">
        <v>9.0809999999999995</v>
      </c>
      <c r="D83" s="6">
        <f t="shared" si="1"/>
        <v>4002.45075</v>
      </c>
    </row>
    <row r="84" spans="1:4">
      <c r="A84" s="5">
        <f>tbl_price_history!A84</f>
        <v>45596</v>
      </c>
      <c r="B84" s="3">
        <v>401.1</v>
      </c>
      <c r="C84" s="3">
        <v>9.0809999999999995</v>
      </c>
      <c r="D84" s="6">
        <f t="shared" si="1"/>
        <v>3642.3890999999999</v>
      </c>
    </row>
    <row r="85" spans="1:4">
      <c r="A85" s="5">
        <f>tbl_price_history!A85</f>
        <v>45626</v>
      </c>
      <c r="B85" s="3">
        <v>394.56</v>
      </c>
      <c r="C85" s="3">
        <v>9.0809999999999995</v>
      </c>
      <c r="D85" s="6">
        <f t="shared" si="1"/>
        <v>3582.9993599999998</v>
      </c>
    </row>
    <row r="86" spans="1:4">
      <c r="A86" s="5">
        <f>tbl_price_history!A86</f>
        <v>45657</v>
      </c>
      <c r="B86" s="3">
        <v>416.17</v>
      </c>
      <c r="C86" s="3">
        <v>9.0809999999999995</v>
      </c>
      <c r="D86" s="6">
        <f t="shared" si="1"/>
        <v>3779.2397700000001</v>
      </c>
    </row>
    <row r="87" spans="1:4">
      <c r="A87" s="5">
        <f>tbl_price_history!A87</f>
        <v>45688</v>
      </c>
      <c r="B87" s="3">
        <v>398.52</v>
      </c>
      <c r="C87" s="3">
        <v>9.0809999999999995</v>
      </c>
      <c r="D87" s="6">
        <f t="shared" si="1"/>
        <v>3618.9601199999997</v>
      </c>
    </row>
    <row r="88" spans="1:4">
      <c r="A88" s="5">
        <f>tbl_price_history!A88</f>
        <v>45716</v>
      </c>
      <c r="B88" s="3">
        <v>474.46</v>
      </c>
      <c r="C88" s="3">
        <v>9.0809999999999995</v>
      </c>
      <c r="D88" s="6">
        <f t="shared" si="1"/>
        <v>4308.5712599999997</v>
      </c>
    </row>
    <row r="89" spans="1:4">
      <c r="A89" s="5">
        <f>tbl_price_history!A89</f>
        <v>45747</v>
      </c>
      <c r="B89" s="3">
        <v>492.7</v>
      </c>
      <c r="C89" s="3">
        <v>9.0809999999999995</v>
      </c>
      <c r="D89" s="6">
        <f t="shared" si="1"/>
        <v>4474.2086999999992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22EC6-974E-42E7-8D2D-780662C68071}">
  <dimension ref="A3:C89"/>
  <sheetViews>
    <sheetView workbookViewId="0">
      <selection activeCell="A5" sqref="A5"/>
    </sheetView>
  </sheetViews>
  <sheetFormatPr defaultRowHeight="15"/>
  <cols>
    <col min="1" max="1" width="14.140625" bestFit="1" customWidth="1"/>
    <col min="2" max="2" width="15" bestFit="1" customWidth="1"/>
    <col min="3" max="3" width="14.85546875" bestFit="1" customWidth="1"/>
  </cols>
  <sheetData>
    <row r="3" spans="1:3" ht="18.75">
      <c r="A3" s="11" t="s">
        <v>12</v>
      </c>
    </row>
    <row r="5" spans="1:3" ht="21">
      <c r="A5" s="13" t="s">
        <v>5</v>
      </c>
      <c r="B5" s="13" t="s">
        <v>13</v>
      </c>
      <c r="C5" s="13" t="s">
        <v>14</v>
      </c>
    </row>
    <row r="6" spans="1:3">
      <c r="A6" s="4">
        <f>tbl_price_history!A6</f>
        <v>43220</v>
      </c>
      <c r="B6">
        <v>1.59</v>
      </c>
      <c r="C6">
        <v>12.46</v>
      </c>
    </row>
    <row r="7" spans="1:3">
      <c r="A7" s="4">
        <f>tbl_price_history!A7</f>
        <v>43251</v>
      </c>
      <c r="B7">
        <v>1.62</v>
      </c>
      <c r="C7">
        <v>12.7</v>
      </c>
    </row>
    <row r="8" spans="1:3">
      <c r="A8" s="4">
        <f>tbl_price_history!A8</f>
        <v>43281</v>
      </c>
      <c r="B8">
        <v>1.75</v>
      </c>
      <c r="C8">
        <v>13.72</v>
      </c>
    </row>
    <row r="9" spans="1:3">
      <c r="A9" s="4">
        <f>tbl_price_history!A9</f>
        <v>43312</v>
      </c>
      <c r="B9">
        <v>1.69</v>
      </c>
      <c r="C9">
        <v>13.27</v>
      </c>
    </row>
    <row r="10" spans="1:3">
      <c r="A10" s="4">
        <f>tbl_price_history!A10</f>
        <v>43343</v>
      </c>
      <c r="B10">
        <v>1.87</v>
      </c>
      <c r="C10">
        <v>14.68</v>
      </c>
    </row>
    <row r="11" spans="1:3">
      <c r="A11" s="4">
        <f>tbl_price_history!A11</f>
        <v>43373</v>
      </c>
      <c r="B11">
        <v>1.81</v>
      </c>
      <c r="C11">
        <v>14.14</v>
      </c>
    </row>
    <row r="12" spans="1:3">
      <c r="A12" s="4">
        <f>tbl_price_history!A12</f>
        <v>43404</v>
      </c>
      <c r="B12">
        <v>1.89</v>
      </c>
      <c r="C12">
        <v>14.78</v>
      </c>
    </row>
    <row r="13" spans="1:3">
      <c r="A13" s="4">
        <f>tbl_price_history!A13</f>
        <v>43434</v>
      </c>
      <c r="B13">
        <v>1.77</v>
      </c>
      <c r="C13">
        <v>13.86</v>
      </c>
    </row>
    <row r="14" spans="1:3">
      <c r="A14" s="4">
        <f>tbl_price_history!A14</f>
        <v>43465</v>
      </c>
      <c r="B14">
        <v>1.83</v>
      </c>
      <c r="C14">
        <v>14.35</v>
      </c>
    </row>
    <row r="15" spans="1:3">
      <c r="A15" s="4">
        <f>tbl_price_history!A15</f>
        <v>43496</v>
      </c>
      <c r="B15">
        <v>1.69</v>
      </c>
      <c r="C15">
        <v>13.25</v>
      </c>
    </row>
    <row r="16" spans="1:3">
      <c r="A16" s="4">
        <f>tbl_price_history!A16</f>
        <v>43524</v>
      </c>
      <c r="B16">
        <v>1.79</v>
      </c>
      <c r="C16">
        <v>14.08</v>
      </c>
    </row>
    <row r="17" spans="1:3">
      <c r="A17" s="4">
        <f>tbl_price_history!A17</f>
        <v>43555</v>
      </c>
      <c r="B17">
        <v>1.84</v>
      </c>
      <c r="C17">
        <v>14.48</v>
      </c>
    </row>
    <row r="18" spans="1:3">
      <c r="A18" s="4">
        <f>tbl_price_history!A18</f>
        <v>43585</v>
      </c>
      <c r="B18">
        <v>1.82</v>
      </c>
      <c r="C18">
        <v>14.29</v>
      </c>
    </row>
    <row r="19" spans="1:3">
      <c r="A19" s="4">
        <f>tbl_price_history!A19</f>
        <v>43616</v>
      </c>
      <c r="B19">
        <v>1.86</v>
      </c>
      <c r="C19">
        <v>14.58</v>
      </c>
    </row>
    <row r="20" spans="1:3">
      <c r="A20" s="4">
        <f>tbl_price_history!A20</f>
        <v>43646</v>
      </c>
      <c r="B20">
        <v>1.8</v>
      </c>
      <c r="C20">
        <v>14.07</v>
      </c>
    </row>
    <row r="21" spans="1:3">
      <c r="A21" s="4">
        <f>tbl_price_history!A21</f>
        <v>43677</v>
      </c>
      <c r="B21">
        <v>1.83</v>
      </c>
      <c r="C21">
        <v>14.34</v>
      </c>
    </row>
    <row r="22" spans="1:3">
      <c r="A22" s="4">
        <f>tbl_price_history!A22</f>
        <v>43708</v>
      </c>
      <c r="B22">
        <v>1.94</v>
      </c>
      <c r="C22">
        <v>15.18</v>
      </c>
    </row>
    <row r="23" spans="1:3">
      <c r="A23" s="4">
        <f>tbl_price_history!A23</f>
        <v>43738</v>
      </c>
      <c r="B23">
        <v>1.93</v>
      </c>
      <c r="C23">
        <v>15.13</v>
      </c>
    </row>
    <row r="24" spans="1:3">
      <c r="A24" s="4">
        <f>tbl_price_history!A24</f>
        <v>43769</v>
      </c>
      <c r="B24">
        <v>1.93</v>
      </c>
      <c r="C24">
        <v>15.09</v>
      </c>
    </row>
    <row r="25" spans="1:3">
      <c r="A25" s="4">
        <f>tbl_price_history!A25</f>
        <v>43799</v>
      </c>
      <c r="B25">
        <v>1.87</v>
      </c>
      <c r="C25">
        <v>14.64</v>
      </c>
    </row>
    <row r="26" spans="1:3">
      <c r="A26" s="4">
        <f>tbl_price_history!A26</f>
        <v>43830</v>
      </c>
      <c r="B26">
        <v>1.8</v>
      </c>
      <c r="C26">
        <v>14</v>
      </c>
    </row>
    <row r="27" spans="1:3">
      <c r="A27" s="4">
        <f>tbl_price_history!A27</f>
        <v>43861</v>
      </c>
      <c r="B27">
        <v>1.93</v>
      </c>
      <c r="C27">
        <v>15</v>
      </c>
    </row>
    <row r="28" spans="1:3">
      <c r="A28" s="4">
        <f>tbl_price_history!A28</f>
        <v>43890</v>
      </c>
      <c r="B28">
        <v>2.0099999999999998</v>
      </c>
      <c r="C28">
        <v>15.66</v>
      </c>
    </row>
    <row r="29" spans="1:3">
      <c r="A29" s="4">
        <f>tbl_price_history!A29</f>
        <v>43921</v>
      </c>
      <c r="B29">
        <v>2.2999999999999998</v>
      </c>
      <c r="C29">
        <v>17.84</v>
      </c>
    </row>
    <row r="30" spans="1:3">
      <c r="A30" s="4">
        <f>tbl_price_history!A30</f>
        <v>43951</v>
      </c>
      <c r="B30">
        <v>2.39</v>
      </c>
      <c r="C30">
        <v>18.510000000000002</v>
      </c>
    </row>
    <row r="31" spans="1:3">
      <c r="A31" s="4">
        <f>tbl_price_history!A31</f>
        <v>43982</v>
      </c>
      <c r="B31">
        <v>2.2599999999999998</v>
      </c>
      <c r="C31">
        <v>17.54</v>
      </c>
    </row>
    <row r="32" spans="1:3">
      <c r="A32" s="4">
        <f>tbl_price_history!A32</f>
        <v>44012</v>
      </c>
      <c r="B32">
        <v>2.23</v>
      </c>
      <c r="C32">
        <v>17.32</v>
      </c>
    </row>
    <row r="33" spans="1:3">
      <c r="A33" s="4">
        <f>tbl_price_history!A33</f>
        <v>44043</v>
      </c>
      <c r="B33">
        <v>2.2000000000000002</v>
      </c>
      <c r="C33">
        <v>17.010000000000002</v>
      </c>
    </row>
    <row r="34" spans="1:3">
      <c r="A34" s="4">
        <f>tbl_price_history!A34</f>
        <v>44074</v>
      </c>
      <c r="B34">
        <v>2.19</v>
      </c>
      <c r="C34">
        <v>16.940000000000001</v>
      </c>
    </row>
    <row r="35" spans="1:3">
      <c r="A35" s="4">
        <f>tbl_price_history!A35</f>
        <v>44104</v>
      </c>
      <c r="B35">
        <v>2.16</v>
      </c>
      <c r="C35">
        <v>16.73</v>
      </c>
    </row>
    <row r="36" spans="1:3">
      <c r="A36" s="4">
        <f>tbl_price_history!A36</f>
        <v>44135</v>
      </c>
      <c r="B36">
        <v>2.1</v>
      </c>
      <c r="C36">
        <v>16.239999999999998</v>
      </c>
    </row>
    <row r="37" spans="1:3">
      <c r="A37" s="4">
        <f>tbl_price_history!A37</f>
        <v>44165</v>
      </c>
      <c r="B37">
        <v>1.96</v>
      </c>
      <c r="C37">
        <v>15.47</v>
      </c>
    </row>
    <row r="38" spans="1:3">
      <c r="A38" s="4">
        <f>tbl_price_history!A38</f>
        <v>44196</v>
      </c>
      <c r="B38">
        <v>1.89</v>
      </c>
      <c r="C38">
        <v>14.69</v>
      </c>
    </row>
    <row r="39" spans="1:3">
      <c r="A39" s="4">
        <f>tbl_price_history!A39</f>
        <v>44227</v>
      </c>
      <c r="B39">
        <v>1.96</v>
      </c>
      <c r="C39">
        <v>15.16</v>
      </c>
    </row>
    <row r="40" spans="1:3">
      <c r="A40" s="4">
        <f>tbl_price_history!A40</f>
        <v>44255</v>
      </c>
      <c r="B40">
        <v>1.95</v>
      </c>
      <c r="C40">
        <v>15.09</v>
      </c>
    </row>
    <row r="41" spans="1:3">
      <c r="A41" s="4">
        <f>tbl_price_history!A41</f>
        <v>44286</v>
      </c>
      <c r="B41">
        <v>1.9</v>
      </c>
      <c r="C41">
        <v>14.77</v>
      </c>
    </row>
    <row r="42" spans="1:3">
      <c r="A42" s="4">
        <f>tbl_price_history!A42</f>
        <v>44316</v>
      </c>
      <c r="B42">
        <v>1.87</v>
      </c>
      <c r="C42">
        <v>14.49</v>
      </c>
    </row>
    <row r="43" spans="1:3">
      <c r="A43" s="4">
        <f>tbl_price_history!A43</f>
        <v>44347</v>
      </c>
      <c r="B43">
        <v>1.77</v>
      </c>
      <c r="C43">
        <v>13.72</v>
      </c>
    </row>
    <row r="44" spans="1:3">
      <c r="A44" s="4">
        <f>tbl_price_history!A44</f>
        <v>44377</v>
      </c>
      <c r="B44">
        <v>1.84</v>
      </c>
      <c r="C44">
        <v>14.27</v>
      </c>
    </row>
    <row r="45" spans="1:3">
      <c r="A45" s="4">
        <f>tbl_price_history!A45</f>
        <v>44408</v>
      </c>
      <c r="B45">
        <v>1.87</v>
      </c>
      <c r="C45">
        <v>14.56</v>
      </c>
    </row>
    <row r="46" spans="1:3">
      <c r="A46" s="4">
        <f>tbl_price_history!A46</f>
        <v>44439</v>
      </c>
      <c r="B46">
        <v>1.87</v>
      </c>
      <c r="C46">
        <v>14.51</v>
      </c>
    </row>
    <row r="47" spans="1:3">
      <c r="A47" s="4">
        <f>tbl_price_history!A47</f>
        <v>44469</v>
      </c>
      <c r="B47">
        <v>1.94</v>
      </c>
      <c r="C47">
        <v>15.09</v>
      </c>
    </row>
    <row r="48" spans="1:3">
      <c r="A48" s="4">
        <f>tbl_price_history!A48</f>
        <v>44500</v>
      </c>
      <c r="B48">
        <v>1.95</v>
      </c>
      <c r="C48">
        <v>15.2</v>
      </c>
    </row>
    <row r="49" spans="1:3">
      <c r="A49" s="4">
        <f>tbl_price_history!A49</f>
        <v>44530</v>
      </c>
      <c r="B49">
        <v>2.04</v>
      </c>
      <c r="C49">
        <v>15.87</v>
      </c>
    </row>
    <row r="50" spans="1:3">
      <c r="A50" s="4">
        <f>tbl_price_history!A50</f>
        <v>44561</v>
      </c>
      <c r="B50">
        <v>2.0499999999999998</v>
      </c>
      <c r="C50">
        <v>15.99</v>
      </c>
    </row>
    <row r="51" spans="1:3">
      <c r="A51" s="4">
        <f>tbl_price_history!A51</f>
        <v>44592</v>
      </c>
      <c r="B51">
        <v>1.97</v>
      </c>
      <c r="C51">
        <v>15.38</v>
      </c>
    </row>
    <row r="52" spans="1:3">
      <c r="A52" s="4">
        <f>tbl_price_history!A52</f>
        <v>44620</v>
      </c>
      <c r="B52">
        <v>1.97</v>
      </c>
      <c r="C52">
        <v>15.36</v>
      </c>
    </row>
    <row r="53" spans="1:3">
      <c r="A53" s="4">
        <f>tbl_price_history!A53</f>
        <v>44651</v>
      </c>
      <c r="B53">
        <v>1.87</v>
      </c>
      <c r="C53">
        <v>14.6</v>
      </c>
    </row>
    <row r="54" spans="1:3">
      <c r="A54" s="4">
        <f>tbl_price_history!A54</f>
        <v>44681</v>
      </c>
      <c r="B54">
        <v>2.0099999999999998</v>
      </c>
      <c r="C54">
        <v>15.81</v>
      </c>
    </row>
    <row r="55" spans="1:3">
      <c r="A55" s="4">
        <f>tbl_price_history!A55</f>
        <v>44712</v>
      </c>
      <c r="B55">
        <v>1.99</v>
      </c>
      <c r="C55">
        <v>15.63</v>
      </c>
    </row>
    <row r="56" spans="1:3">
      <c r="A56" s="4">
        <f>tbl_price_history!A56</f>
        <v>44742</v>
      </c>
      <c r="B56">
        <v>2.0699999999999998</v>
      </c>
      <c r="C56">
        <v>16.27</v>
      </c>
    </row>
    <row r="57" spans="1:3">
      <c r="A57" s="4">
        <f>tbl_price_history!A57</f>
        <v>44773</v>
      </c>
      <c r="B57">
        <v>2.12</v>
      </c>
      <c r="C57">
        <v>16.64</v>
      </c>
    </row>
    <row r="58" spans="1:3">
      <c r="A58" s="4">
        <f>tbl_price_history!A58</f>
        <v>44804</v>
      </c>
      <c r="B58">
        <v>2.1800000000000002</v>
      </c>
      <c r="C58">
        <v>17.11</v>
      </c>
    </row>
    <row r="59" spans="1:3">
      <c r="A59" s="4">
        <f>tbl_price_history!A59</f>
        <v>44834</v>
      </c>
      <c r="B59">
        <v>2.31</v>
      </c>
      <c r="C59">
        <v>18.149999999999999</v>
      </c>
    </row>
    <row r="60" spans="1:3">
      <c r="A60" s="4">
        <f>tbl_price_history!A60</f>
        <v>44865</v>
      </c>
      <c r="B60">
        <v>2.33</v>
      </c>
      <c r="C60">
        <v>17.170000000000002</v>
      </c>
    </row>
    <row r="61" spans="1:3">
      <c r="A61" s="4">
        <f>tbl_price_history!A61</f>
        <v>44895</v>
      </c>
      <c r="B61">
        <v>2.2000000000000002</v>
      </c>
      <c r="C61">
        <v>17</v>
      </c>
    </row>
    <row r="62" spans="1:3">
      <c r="A62" s="4">
        <f>tbl_price_history!A62</f>
        <v>44926</v>
      </c>
      <c r="B62">
        <v>2.1800000000000002</v>
      </c>
      <c r="C62">
        <v>17</v>
      </c>
    </row>
    <row r="63" spans="1:3">
      <c r="A63" s="4">
        <f>tbl_price_history!A63</f>
        <v>44957</v>
      </c>
      <c r="B63">
        <v>2.2200000000000002</v>
      </c>
      <c r="C63">
        <v>17.399999999999999</v>
      </c>
    </row>
    <row r="64" spans="1:3">
      <c r="A64" s="4">
        <f>tbl_price_history!A64</f>
        <v>44985</v>
      </c>
      <c r="B64">
        <v>2.34</v>
      </c>
      <c r="C64">
        <v>18.350000000000001</v>
      </c>
    </row>
    <row r="65" spans="1:3">
      <c r="A65" s="4">
        <f>tbl_price_history!A65</f>
        <v>45016</v>
      </c>
      <c r="B65">
        <v>2.27</v>
      </c>
      <c r="C65">
        <v>17.78</v>
      </c>
    </row>
    <row r="66" spans="1:3">
      <c r="A66" s="4">
        <f>tbl_price_history!A66</f>
        <v>45046</v>
      </c>
      <c r="B66">
        <v>2.33</v>
      </c>
      <c r="C66">
        <v>18.27</v>
      </c>
    </row>
    <row r="67" spans="1:3">
      <c r="A67" s="4">
        <f>tbl_price_history!A67</f>
        <v>45077</v>
      </c>
      <c r="B67">
        <v>2.52</v>
      </c>
      <c r="C67">
        <v>19.72</v>
      </c>
    </row>
    <row r="68" spans="1:3">
      <c r="A68" s="4">
        <f>tbl_price_history!A68</f>
        <v>45107</v>
      </c>
      <c r="B68">
        <v>2.4</v>
      </c>
      <c r="C68">
        <v>18.829999999999998</v>
      </c>
    </row>
    <row r="69" spans="1:3">
      <c r="A69" s="4">
        <f>tbl_price_history!A69</f>
        <v>45138</v>
      </c>
      <c r="B69">
        <v>2.29</v>
      </c>
      <c r="C69">
        <v>17.850000000000001</v>
      </c>
    </row>
    <row r="70" spans="1:3">
      <c r="A70" s="4">
        <f>tbl_price_history!A70</f>
        <v>45169</v>
      </c>
      <c r="B70">
        <v>2.41</v>
      </c>
      <c r="C70">
        <v>18.87</v>
      </c>
    </row>
    <row r="71" spans="1:3">
      <c r="A71" s="4">
        <f>tbl_price_history!A71</f>
        <v>45199</v>
      </c>
      <c r="B71">
        <v>2.42</v>
      </c>
      <c r="C71">
        <v>18.920000000000002</v>
      </c>
    </row>
    <row r="72" spans="1:3">
      <c r="A72" s="4">
        <f>tbl_price_history!A72</f>
        <v>45230</v>
      </c>
      <c r="B72">
        <v>2.38</v>
      </c>
      <c r="C72">
        <v>18.64</v>
      </c>
    </row>
    <row r="73" spans="1:3">
      <c r="A73" s="4">
        <f>tbl_price_history!A73</f>
        <v>45260</v>
      </c>
      <c r="B73">
        <v>2.41</v>
      </c>
      <c r="C73">
        <v>18.850000000000001</v>
      </c>
    </row>
    <row r="74" spans="1:3">
      <c r="A74" s="4">
        <f>tbl_price_history!A74</f>
        <v>45291</v>
      </c>
      <c r="B74">
        <v>2.34</v>
      </c>
      <c r="C74">
        <v>18.28</v>
      </c>
    </row>
    <row r="75" spans="1:3">
      <c r="A75" s="4">
        <f>tbl_price_history!A75</f>
        <v>45322</v>
      </c>
      <c r="B75">
        <v>2.39</v>
      </c>
      <c r="C75">
        <v>18.670000000000002</v>
      </c>
    </row>
    <row r="76" spans="1:3">
      <c r="A76" s="4">
        <f>tbl_price_history!A76</f>
        <v>45351</v>
      </c>
      <c r="B76">
        <v>2.4500000000000002</v>
      </c>
      <c r="C76">
        <v>19.21</v>
      </c>
    </row>
    <row r="77" spans="1:3">
      <c r="A77" s="4">
        <f>tbl_price_history!A77</f>
        <v>45382</v>
      </c>
      <c r="B77">
        <v>2.41</v>
      </c>
      <c r="C77">
        <v>18.920000000000002</v>
      </c>
    </row>
    <row r="78" spans="1:3">
      <c r="A78" s="4">
        <f>tbl_price_history!A78</f>
        <v>45412</v>
      </c>
      <c r="B78">
        <v>2.4</v>
      </c>
      <c r="C78">
        <v>18.760000000000002</v>
      </c>
    </row>
    <row r="79" spans="1:3">
      <c r="A79" s="4">
        <f>tbl_price_history!A79</f>
        <v>45443</v>
      </c>
      <c r="B79">
        <v>2.41</v>
      </c>
      <c r="C79">
        <v>18.809999999999999</v>
      </c>
    </row>
    <row r="80" spans="1:3">
      <c r="A80" s="4">
        <f>tbl_price_history!A80</f>
        <v>45473</v>
      </c>
      <c r="B80">
        <v>2.33</v>
      </c>
      <c r="C80">
        <v>18.190000000000001</v>
      </c>
    </row>
    <row r="81" spans="1:3">
      <c r="A81" s="4">
        <f>tbl_price_history!A81</f>
        <v>45504</v>
      </c>
      <c r="B81">
        <v>2.33</v>
      </c>
      <c r="C81">
        <v>18.2</v>
      </c>
    </row>
    <row r="82" spans="1:3">
      <c r="A82" s="4">
        <f>tbl_price_history!A82</f>
        <v>45535</v>
      </c>
      <c r="B82">
        <v>2.29</v>
      </c>
      <c r="C82">
        <v>17.82</v>
      </c>
    </row>
    <row r="83" spans="1:3">
      <c r="A83" s="4">
        <f>tbl_price_history!A83</f>
        <v>45565</v>
      </c>
      <c r="B83">
        <v>2.2200000000000002</v>
      </c>
      <c r="C83">
        <v>17.260000000000002</v>
      </c>
    </row>
    <row r="84" spans="1:3">
      <c r="A84" s="4">
        <f>tbl_price_history!A84</f>
        <v>45596</v>
      </c>
      <c r="B84">
        <v>2.2599999999999998</v>
      </c>
      <c r="C84">
        <v>17.559999999999999</v>
      </c>
    </row>
    <row r="85" spans="1:3">
      <c r="A85" s="4">
        <f>tbl_price_history!A85</f>
        <v>45626</v>
      </c>
      <c r="B85">
        <v>2.3199999999999998</v>
      </c>
      <c r="C85">
        <v>18.05</v>
      </c>
    </row>
    <row r="86" spans="1:3">
      <c r="A86" s="4">
        <f>tbl_price_history!A86</f>
        <v>45657</v>
      </c>
      <c r="B86">
        <v>2.4300000000000002</v>
      </c>
      <c r="C86">
        <v>18.850000000000001</v>
      </c>
    </row>
    <row r="87" spans="1:3">
      <c r="A87" s="4">
        <f>tbl_price_history!A87</f>
        <v>45688</v>
      </c>
      <c r="B87">
        <v>2.4</v>
      </c>
      <c r="C87">
        <v>18.670000000000002</v>
      </c>
    </row>
    <row r="88" spans="1:3">
      <c r="A88" s="4">
        <f>tbl_price_history!A88</f>
        <v>45716</v>
      </c>
      <c r="B88">
        <v>2.4</v>
      </c>
      <c r="C88">
        <v>18.690000000000001</v>
      </c>
    </row>
    <row r="89" spans="1:3">
      <c r="A89" s="4">
        <f>tbl_price_history!A89</f>
        <v>45747</v>
      </c>
      <c r="B89">
        <v>2.35</v>
      </c>
      <c r="C89">
        <v>18.309999999999999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74B0-A686-44ED-A12C-693A74E3AE76}">
  <dimension ref="A3:N89"/>
  <sheetViews>
    <sheetView topLeftCell="H4" workbookViewId="0">
      <selection activeCell="M7" sqref="M7"/>
    </sheetView>
  </sheetViews>
  <sheetFormatPr defaultRowHeight="15"/>
  <cols>
    <col min="1" max="1" width="25.5703125" bestFit="1" customWidth="1"/>
    <col min="2" max="2" width="29" customWidth="1"/>
    <col min="3" max="3" width="25.5703125" customWidth="1"/>
    <col min="4" max="4" width="18.7109375" bestFit="1" customWidth="1"/>
    <col min="5" max="5" width="28.5703125" customWidth="1"/>
    <col min="6" max="6" width="36.5703125" bestFit="1" customWidth="1"/>
    <col min="7" max="7" width="31.42578125" bestFit="1" customWidth="1"/>
    <col min="8" max="8" width="22.140625" bestFit="1" customWidth="1"/>
    <col min="9" max="9" width="13.7109375" bestFit="1" customWidth="1"/>
    <col min="10" max="10" width="22" bestFit="1" customWidth="1"/>
    <col min="11" max="11" width="16.28515625" bestFit="1" customWidth="1"/>
    <col min="12" max="12" width="30.5703125" bestFit="1" customWidth="1"/>
    <col min="13" max="13" width="36.5703125" bestFit="1" customWidth="1"/>
    <col min="14" max="14" width="21.5703125" bestFit="1" customWidth="1"/>
  </cols>
  <sheetData>
    <row r="3" spans="1:14" ht="18.75">
      <c r="A3" s="11" t="s">
        <v>15</v>
      </c>
    </row>
    <row r="5" spans="1:14" ht="18.75">
      <c r="A5" s="16" t="s">
        <v>5</v>
      </c>
      <c r="B5" s="16" t="s">
        <v>16</v>
      </c>
      <c r="C5" s="16" t="s">
        <v>13</v>
      </c>
      <c r="D5" s="16" t="s">
        <v>17</v>
      </c>
      <c r="E5" s="17" t="s">
        <v>18</v>
      </c>
      <c r="F5" s="16" t="s">
        <v>19</v>
      </c>
      <c r="G5" s="16" t="s">
        <v>20</v>
      </c>
      <c r="H5" s="16" t="s">
        <v>21</v>
      </c>
      <c r="I5" s="16" t="s">
        <v>14</v>
      </c>
      <c r="J5" s="16" t="s">
        <v>22</v>
      </c>
      <c r="K5" s="16" t="s">
        <v>23</v>
      </c>
      <c r="L5" s="16" t="s">
        <v>24</v>
      </c>
      <c r="M5" s="16" t="s">
        <v>25</v>
      </c>
      <c r="N5" s="16" t="s">
        <v>26</v>
      </c>
    </row>
    <row r="6" spans="1:14">
      <c r="A6" s="5">
        <f>tbl_price_history!A6</f>
        <v>43220</v>
      </c>
      <c r="B6" s="15">
        <f>_xlfn.XLOOKUP(A6,tbl_tencent_market_data[Date],tbl_tencent_market_data[Market Cap (HKD B)])</f>
        <v>3143.0249100000001</v>
      </c>
      <c r="C6" s="1">
        <f>_xlfn.XLOOKUP(A6,tbl_fx_rates_data[Date],tbl_fx_rates_data[HKD_ZAR])</f>
        <v>1.59</v>
      </c>
      <c r="D6" s="3">
        <f>YEAR(EDATE(A6,9))</f>
        <v>2019</v>
      </c>
      <c r="E6" s="6">
        <f>B6*C6</f>
        <v>4997.4096069000007</v>
      </c>
      <c r="F6" s="15">
        <f>_xlfn.XLOOKUP(D6,tbl_ownership[Fiscal_Year],tbl_ownership[Ownership_%])</f>
        <v>0.31</v>
      </c>
      <c r="G6" s="6">
        <f>E6*F6</f>
        <v>1549.1969781390003</v>
      </c>
      <c r="H6" s="3">
        <f>_xlfn.XLOOKUP(D6,tbl_netdebt[Fiscal_Year],tbl_netdebt[Net_debt_USD_B],0)</f>
        <v>-9.1</v>
      </c>
      <c r="I6" s="3">
        <f>_xlfn.XLOOKUP(A6,tbl_fx_rates_data[Date],tbl_fx_rates_data[USD_ZAR])</f>
        <v>12.46</v>
      </c>
      <c r="J6" s="6">
        <f>H6*I6</f>
        <v>-113.38600000000001</v>
      </c>
      <c r="K6" s="6">
        <f>G6-J6</f>
        <v>1662.5829781390003</v>
      </c>
      <c r="L6" s="6">
        <f>_xlfn.XLOOKUP(Table6[[#This Row],[Date]],tbl_naspers_price_data[Date],tbl_naspers_price_data[Market Cap (ZAR B)])</f>
        <v>823.08680000000004</v>
      </c>
      <c r="M6" s="18">
        <f t="shared" ref="M6:M37" si="0">1-(L6/K6)</f>
        <v>0.50493490501068639</v>
      </c>
      <c r="N6" s="6">
        <f t="shared" ref="N6:N37" si="1">K6-L6</f>
        <v>839.49617813900022</v>
      </c>
    </row>
    <row r="7" spans="1:14">
      <c r="A7" s="5">
        <f>tbl_price_history!A7</f>
        <v>43251</v>
      </c>
      <c r="B7" s="15">
        <f>_xlfn.XLOOKUP(A7,tbl_tencent_market_data[Date],tbl_tencent_market_data[Market Cap (HKD B)])</f>
        <v>3208.8621600000001</v>
      </c>
      <c r="C7" s="1">
        <f>_xlfn.XLOOKUP(A7,tbl_fx_rates_data[Date],tbl_fx_rates_data[HKD_ZAR])</f>
        <v>1.62</v>
      </c>
      <c r="D7" s="3">
        <f t="shared" ref="D7:D70" si="2">YEAR(EDATE(A7,9))</f>
        <v>2019</v>
      </c>
      <c r="E7" s="6">
        <f t="shared" ref="E7:E70" si="3">B7*C7</f>
        <v>5198.3566992000005</v>
      </c>
      <c r="F7" s="15">
        <f>_xlfn.XLOOKUP(D7,tbl_ownership[Fiscal_Year],tbl_ownership[Ownership_%])</f>
        <v>0.31</v>
      </c>
      <c r="G7" s="6">
        <f t="shared" ref="G7:G70" si="4">E7*F7</f>
        <v>1611.4905767520002</v>
      </c>
      <c r="H7" s="3">
        <f>_xlfn.XLOOKUP(D7,tbl_netdebt[Fiscal_Year],tbl_netdebt[Net_debt_USD_B],0)</f>
        <v>-9.1</v>
      </c>
      <c r="I7" s="3">
        <f>_xlfn.XLOOKUP(A7,tbl_fx_rates_data[Date],tbl_fx_rates_data[USD_ZAR])</f>
        <v>12.7</v>
      </c>
      <c r="J7" s="6">
        <f t="shared" ref="J7:J70" si="5">H7*I7</f>
        <v>-115.57</v>
      </c>
      <c r="K7" s="6">
        <f t="shared" ref="K7:K70" si="6">G7-J7</f>
        <v>1727.0605767520001</v>
      </c>
      <c r="L7" s="6">
        <f>_xlfn.XLOOKUP(Table6[[#This Row],[Date]],tbl_naspers_price_data[Date],tbl_naspers_price_data[Market Cap (ZAR B)])</f>
        <v>814.07740000000013</v>
      </c>
      <c r="M7" s="19">
        <f t="shared" si="0"/>
        <v>0.52863413654488234</v>
      </c>
      <c r="N7" s="6">
        <f t="shared" si="1"/>
        <v>912.98317675199996</v>
      </c>
    </row>
    <row r="8" spans="1:14">
      <c r="A8" s="5">
        <f>tbl_price_history!A8</f>
        <v>43281</v>
      </c>
      <c r="B8" s="15">
        <f>_xlfn.XLOOKUP(A8,tbl_tencent_market_data[Date],tbl_tencent_market_data[Market Cap (HKD B)])</f>
        <v>3172.9013999999997</v>
      </c>
      <c r="C8" s="1">
        <f>_xlfn.XLOOKUP(A8,tbl_fx_rates_data[Date],tbl_fx_rates_data[HKD_ZAR])</f>
        <v>1.75</v>
      </c>
      <c r="D8" s="3">
        <f t="shared" si="2"/>
        <v>2019</v>
      </c>
      <c r="E8" s="6">
        <f t="shared" si="3"/>
        <v>5552.5774499999998</v>
      </c>
      <c r="F8" s="15">
        <f>_xlfn.XLOOKUP(D8,tbl_ownership[Fiscal_Year],tbl_ownership[Ownership_%])</f>
        <v>0.31</v>
      </c>
      <c r="G8" s="6">
        <f t="shared" si="4"/>
        <v>1721.2990095</v>
      </c>
      <c r="H8" s="3">
        <f>_xlfn.XLOOKUP(D8,tbl_netdebt[Fiscal_Year],tbl_netdebt[Net_debt_USD_B],0)</f>
        <v>-9.1</v>
      </c>
      <c r="I8" s="3">
        <f>_xlfn.XLOOKUP(A8,tbl_fx_rates_data[Date],tbl_fx_rates_data[USD_ZAR])</f>
        <v>13.72</v>
      </c>
      <c r="J8" s="6">
        <f t="shared" si="5"/>
        <v>-124.852</v>
      </c>
      <c r="K8" s="6">
        <f t="shared" si="6"/>
        <v>1846.1510095000001</v>
      </c>
      <c r="L8" s="6">
        <f>_xlfn.XLOOKUP(Table6[[#This Row],[Date]],tbl_naspers_price_data[Date],tbl_naspers_price_data[Market Cap (ZAR B)])</f>
        <v>937.57680000000005</v>
      </c>
      <c r="M8" s="19">
        <f t="shared" si="0"/>
        <v>0.49214511967039609</v>
      </c>
      <c r="N8" s="6">
        <f t="shared" si="1"/>
        <v>908.57420950000005</v>
      </c>
    </row>
    <row r="9" spans="1:14">
      <c r="A9" s="5">
        <f>tbl_price_history!A9</f>
        <v>43312</v>
      </c>
      <c r="B9" s="15">
        <f>_xlfn.XLOOKUP(A9,tbl_tencent_market_data[Date],tbl_tencent_market_data[Market Cap (HKD B)])</f>
        <v>2861.8771499999998</v>
      </c>
      <c r="C9" s="1">
        <f>_xlfn.XLOOKUP(A9,tbl_fx_rates_data[Date],tbl_fx_rates_data[HKD_ZAR])</f>
        <v>1.69</v>
      </c>
      <c r="D9" s="3">
        <f t="shared" si="2"/>
        <v>2019</v>
      </c>
      <c r="E9" s="6">
        <f t="shared" si="3"/>
        <v>4836.5723834999999</v>
      </c>
      <c r="F9" s="15">
        <f>_xlfn.XLOOKUP(D9,tbl_ownership[Fiscal_Year],tbl_ownership[Ownership_%])</f>
        <v>0.31</v>
      </c>
      <c r="G9" s="6">
        <f t="shared" si="4"/>
        <v>1499.337438885</v>
      </c>
      <c r="H9" s="3">
        <f>_xlfn.XLOOKUP(D9,tbl_netdebt[Fiscal_Year],tbl_netdebt[Net_debt_USD_B],0)</f>
        <v>-9.1</v>
      </c>
      <c r="I9" s="3">
        <f>_xlfn.XLOOKUP(A9,tbl_fx_rates_data[Date],tbl_fx_rates_data[USD_ZAR])</f>
        <v>13.27</v>
      </c>
      <c r="J9" s="6">
        <f t="shared" si="5"/>
        <v>-120.75699999999999</v>
      </c>
      <c r="K9" s="6">
        <f t="shared" si="6"/>
        <v>1620.094438885</v>
      </c>
      <c r="L9" s="6">
        <f>_xlfn.XLOOKUP(Table6[[#This Row],[Date]],tbl_naspers_price_data[Date],tbl_naspers_price_data[Market Cap (ZAR B)])</f>
        <v>872.19979999999998</v>
      </c>
      <c r="M9" s="19">
        <f t="shared" si="0"/>
        <v>0.46163644595911624</v>
      </c>
      <c r="N9" s="6">
        <f t="shared" si="1"/>
        <v>747.89463888500006</v>
      </c>
    </row>
    <row r="10" spans="1:14">
      <c r="A10" s="5">
        <f>tbl_price_history!A10</f>
        <v>43343</v>
      </c>
      <c r="B10" s="15">
        <f>_xlfn.XLOOKUP(A10,tbl_tencent_market_data[Date],tbl_tencent_market_data[Market Cap (HKD B)])</f>
        <v>2739.37446</v>
      </c>
      <c r="C10" s="1">
        <f>_xlfn.XLOOKUP(A10,tbl_fx_rates_data[Date],tbl_fx_rates_data[HKD_ZAR])</f>
        <v>1.87</v>
      </c>
      <c r="D10" s="3">
        <f t="shared" si="2"/>
        <v>2019</v>
      </c>
      <c r="E10" s="6">
        <f t="shared" si="3"/>
        <v>5122.6302402000001</v>
      </c>
      <c r="F10" s="15">
        <f>_xlfn.XLOOKUP(D10,tbl_ownership[Fiscal_Year],tbl_ownership[Ownership_%])</f>
        <v>0.31</v>
      </c>
      <c r="G10" s="6">
        <f t="shared" si="4"/>
        <v>1588.015374462</v>
      </c>
      <c r="H10" s="3">
        <f>_xlfn.XLOOKUP(D10,tbl_netdebt[Fiscal_Year],tbl_netdebt[Net_debt_USD_B],0)</f>
        <v>-9.1</v>
      </c>
      <c r="I10" s="3">
        <f>_xlfn.XLOOKUP(A10,tbl_fx_rates_data[Date],tbl_fx_rates_data[USD_ZAR])</f>
        <v>14.68</v>
      </c>
      <c r="J10" s="6">
        <f t="shared" si="5"/>
        <v>-133.58799999999999</v>
      </c>
      <c r="K10" s="6">
        <f t="shared" si="6"/>
        <v>1721.6033744619999</v>
      </c>
      <c r="L10" s="6">
        <f>_xlfn.XLOOKUP(Table6[[#This Row],[Date]],tbl_naspers_price_data[Date],tbl_naspers_price_data[Market Cap (ZAR B)])</f>
        <v>878.59840000000008</v>
      </c>
      <c r="M10" s="19">
        <f t="shared" si="0"/>
        <v>0.48966271033561282</v>
      </c>
      <c r="N10" s="6">
        <f t="shared" si="1"/>
        <v>843.00497446199984</v>
      </c>
    </row>
    <row r="11" spans="1:14">
      <c r="A11" s="5">
        <f>tbl_price_history!A11</f>
        <v>43373</v>
      </c>
      <c r="B11" s="15">
        <f>_xlfn.XLOOKUP(A11,tbl_tencent_market_data[Date],tbl_tencent_market_data[Market Cap (HKD B)])</f>
        <v>2604.06756</v>
      </c>
      <c r="C11" s="1">
        <f>_xlfn.XLOOKUP(A11,tbl_fx_rates_data[Date],tbl_fx_rates_data[HKD_ZAR])</f>
        <v>1.81</v>
      </c>
      <c r="D11" s="3">
        <f t="shared" si="2"/>
        <v>2019</v>
      </c>
      <c r="E11" s="6">
        <f t="shared" si="3"/>
        <v>4713.3622836000004</v>
      </c>
      <c r="F11" s="15">
        <f>_xlfn.XLOOKUP(D11,tbl_ownership[Fiscal_Year],tbl_ownership[Ownership_%])</f>
        <v>0.31</v>
      </c>
      <c r="G11" s="6">
        <f t="shared" si="4"/>
        <v>1461.1423079160002</v>
      </c>
      <c r="H11" s="3">
        <f>_xlfn.XLOOKUP(D11,tbl_netdebt[Fiscal_Year],tbl_netdebt[Net_debt_USD_B],0)</f>
        <v>-9.1</v>
      </c>
      <c r="I11" s="3">
        <f>_xlfn.XLOOKUP(A11,tbl_fx_rates_data[Date],tbl_fx_rates_data[USD_ZAR])</f>
        <v>14.14</v>
      </c>
      <c r="J11" s="6">
        <f t="shared" si="5"/>
        <v>-128.67400000000001</v>
      </c>
      <c r="K11" s="6">
        <f t="shared" si="6"/>
        <v>1589.8163079160001</v>
      </c>
      <c r="L11" s="6">
        <f>_xlfn.XLOOKUP(Table6[[#This Row],[Date]],tbl_naspers_price_data[Date],tbl_naspers_price_data[Market Cap (ZAR B)])</f>
        <v>820.9896</v>
      </c>
      <c r="M11" s="19">
        <f t="shared" si="0"/>
        <v>0.48359467951603252</v>
      </c>
      <c r="N11" s="6">
        <f t="shared" si="1"/>
        <v>768.82670791600015</v>
      </c>
    </row>
    <row r="12" spans="1:14">
      <c r="A12" s="5">
        <f>tbl_price_history!A12</f>
        <v>43404</v>
      </c>
      <c r="B12" s="15">
        <f>_xlfn.XLOOKUP(A12,tbl_tencent_market_data[Date],tbl_tencent_market_data[Market Cap (HKD B)])</f>
        <v>2151.1980899999999</v>
      </c>
      <c r="C12" s="1">
        <f>_xlfn.XLOOKUP(A12,tbl_fx_rates_data[Date],tbl_fx_rates_data[HKD_ZAR])</f>
        <v>1.89</v>
      </c>
      <c r="D12" s="3">
        <f t="shared" si="2"/>
        <v>2019</v>
      </c>
      <c r="E12" s="6">
        <f t="shared" si="3"/>
        <v>4065.7643900999997</v>
      </c>
      <c r="F12" s="15">
        <f>_xlfn.XLOOKUP(D12,tbl_ownership[Fiscal_Year],tbl_ownership[Ownership_%])</f>
        <v>0.31</v>
      </c>
      <c r="G12" s="6">
        <f t="shared" si="4"/>
        <v>1260.386960931</v>
      </c>
      <c r="H12" s="3">
        <f>_xlfn.XLOOKUP(D12,tbl_netdebt[Fiscal_Year],tbl_netdebt[Net_debt_USD_B],0)</f>
        <v>-9.1</v>
      </c>
      <c r="I12" s="3">
        <f>_xlfn.XLOOKUP(A12,tbl_fx_rates_data[Date],tbl_fx_rates_data[USD_ZAR])</f>
        <v>14.78</v>
      </c>
      <c r="J12" s="6">
        <f t="shared" si="5"/>
        <v>-134.49799999999999</v>
      </c>
      <c r="K12" s="6">
        <f t="shared" si="6"/>
        <v>1394.884960931</v>
      </c>
      <c r="L12" s="6">
        <f>_xlfn.XLOOKUP(Table6[[#This Row],[Date]],tbl_naspers_price_data[Date],tbl_naspers_price_data[Market Cap (ZAR B)])</f>
        <v>697.53300000000002</v>
      </c>
      <c r="M12" s="19">
        <f t="shared" si="0"/>
        <v>0.49993510609330849</v>
      </c>
      <c r="N12" s="6">
        <f t="shared" si="1"/>
        <v>697.35196093100001</v>
      </c>
    </row>
    <row r="13" spans="1:14">
      <c r="A13" s="5">
        <f>tbl_price_history!A13</f>
        <v>43434</v>
      </c>
      <c r="B13" s="15">
        <f>_xlfn.XLOOKUP(A13,tbl_tencent_market_data[Date],tbl_tencent_market_data[Market Cap (HKD B)])</f>
        <v>2513.80242</v>
      </c>
      <c r="C13" s="1">
        <f>_xlfn.XLOOKUP(A13,tbl_fx_rates_data[Date],tbl_fx_rates_data[HKD_ZAR])</f>
        <v>1.77</v>
      </c>
      <c r="D13" s="3">
        <f t="shared" si="2"/>
        <v>2019</v>
      </c>
      <c r="E13" s="6">
        <f t="shared" si="3"/>
        <v>4449.4302834</v>
      </c>
      <c r="F13" s="15">
        <f>_xlfn.XLOOKUP(D13,tbl_ownership[Fiscal_Year],tbl_ownership[Ownership_%])</f>
        <v>0.31</v>
      </c>
      <c r="G13" s="6">
        <f t="shared" si="4"/>
        <v>1379.323387854</v>
      </c>
      <c r="H13" s="3">
        <f>_xlfn.XLOOKUP(D13,tbl_netdebt[Fiscal_Year],tbl_netdebt[Net_debt_USD_B],0)</f>
        <v>-9.1</v>
      </c>
      <c r="I13" s="3">
        <f>_xlfn.XLOOKUP(A13,tbl_fx_rates_data[Date],tbl_fx_rates_data[USD_ZAR])</f>
        <v>13.86</v>
      </c>
      <c r="J13" s="6">
        <f t="shared" si="5"/>
        <v>-126.12599999999999</v>
      </c>
      <c r="K13" s="6">
        <f t="shared" si="6"/>
        <v>1505.449387854</v>
      </c>
      <c r="L13" s="6">
        <f>_xlfn.XLOOKUP(Table6[[#This Row],[Date]],tbl_naspers_price_data[Date],tbl_naspers_price_data[Market Cap (ZAR B)])</f>
        <v>743.35040000000004</v>
      </c>
      <c r="M13" s="19">
        <f t="shared" si="0"/>
        <v>0.50622690739564669</v>
      </c>
      <c r="N13" s="6">
        <f t="shared" si="1"/>
        <v>762.09898785399992</v>
      </c>
    </row>
    <row r="14" spans="1:14">
      <c r="A14" s="5">
        <f>tbl_price_history!A14</f>
        <v>43465</v>
      </c>
      <c r="B14" s="15">
        <f>_xlfn.XLOOKUP(A14,tbl_tencent_market_data[Date],tbl_tencent_market_data[Market Cap (HKD B)])</f>
        <v>2529.8757899999996</v>
      </c>
      <c r="C14" s="1">
        <f>_xlfn.XLOOKUP(A14,tbl_fx_rates_data[Date],tbl_fx_rates_data[HKD_ZAR])</f>
        <v>1.83</v>
      </c>
      <c r="D14" s="3">
        <f t="shared" si="2"/>
        <v>2019</v>
      </c>
      <c r="E14" s="6">
        <f t="shared" si="3"/>
        <v>4629.6726956999992</v>
      </c>
      <c r="F14" s="15">
        <f>_xlfn.XLOOKUP(D14,tbl_ownership[Fiscal_Year],tbl_ownership[Ownership_%])</f>
        <v>0.31</v>
      </c>
      <c r="G14" s="6">
        <f t="shared" si="4"/>
        <v>1435.1985356669998</v>
      </c>
      <c r="H14" s="3">
        <f>_xlfn.XLOOKUP(D14,tbl_netdebt[Fiscal_Year],tbl_netdebt[Net_debt_USD_B],0)</f>
        <v>-9.1</v>
      </c>
      <c r="I14" s="3">
        <f>_xlfn.XLOOKUP(A14,tbl_fx_rates_data[Date],tbl_fx_rates_data[USD_ZAR])</f>
        <v>14.35</v>
      </c>
      <c r="J14" s="6">
        <f t="shared" si="5"/>
        <v>-130.58499999999998</v>
      </c>
      <c r="K14" s="6">
        <f t="shared" si="6"/>
        <v>1565.7835356669998</v>
      </c>
      <c r="L14" s="6">
        <f>_xlfn.XLOOKUP(Table6[[#This Row],[Date]],tbl_naspers_price_data[Date],tbl_naspers_price_data[Market Cap (ZAR B)])</f>
        <v>778.12540000000013</v>
      </c>
      <c r="M14" s="19">
        <f t="shared" si="0"/>
        <v>0.50304407839584886</v>
      </c>
      <c r="N14" s="6">
        <f t="shared" si="1"/>
        <v>787.65813566699967</v>
      </c>
    </row>
    <row r="15" spans="1:14">
      <c r="A15" s="5">
        <f>tbl_price_history!A15</f>
        <v>43496</v>
      </c>
      <c r="B15" s="15">
        <f>_xlfn.XLOOKUP(A15,tbl_tencent_market_data[Date],tbl_tencent_market_data[Market Cap (HKD B)])</f>
        <v>2787.77619</v>
      </c>
      <c r="C15" s="1">
        <f>_xlfn.XLOOKUP(A15,tbl_fx_rates_data[Date],tbl_fx_rates_data[HKD_ZAR])</f>
        <v>1.69</v>
      </c>
      <c r="D15" s="3">
        <f t="shared" si="2"/>
        <v>2019</v>
      </c>
      <c r="E15" s="6">
        <f t="shared" si="3"/>
        <v>4711.3417610999995</v>
      </c>
      <c r="F15" s="15">
        <f>_xlfn.XLOOKUP(D15,tbl_ownership[Fiscal_Year],tbl_ownership[Ownership_%])</f>
        <v>0.31</v>
      </c>
      <c r="G15" s="6">
        <f t="shared" si="4"/>
        <v>1460.5159459409999</v>
      </c>
      <c r="H15" s="3">
        <f>_xlfn.XLOOKUP(D15,tbl_netdebt[Fiscal_Year],tbl_netdebt[Net_debt_USD_B],0)</f>
        <v>-9.1</v>
      </c>
      <c r="I15" s="3">
        <f>_xlfn.XLOOKUP(A15,tbl_fx_rates_data[Date],tbl_fx_rates_data[USD_ZAR])</f>
        <v>13.25</v>
      </c>
      <c r="J15" s="6">
        <f t="shared" si="5"/>
        <v>-120.57499999999999</v>
      </c>
      <c r="K15" s="6">
        <f t="shared" si="6"/>
        <v>1581.090945941</v>
      </c>
      <c r="L15" s="6">
        <f>_xlfn.XLOOKUP(Table6[[#This Row],[Date]],tbl_naspers_price_data[Date],tbl_naspers_price_data[Market Cap (ZAR B)])</f>
        <v>817.88660000000004</v>
      </c>
      <c r="M15" s="19">
        <f t="shared" si="0"/>
        <v>0.48270742925972054</v>
      </c>
      <c r="N15" s="6">
        <f t="shared" si="1"/>
        <v>763.20434594099993</v>
      </c>
    </row>
    <row r="16" spans="1:14">
      <c r="A16" s="5">
        <f>tbl_price_history!A16</f>
        <v>43524</v>
      </c>
      <c r="B16" s="15">
        <f>_xlfn.XLOOKUP(A16,tbl_tencent_market_data[Date],tbl_tencent_market_data[Market Cap (HKD B)])</f>
        <v>2705.5931399999999</v>
      </c>
      <c r="C16" s="1">
        <f>_xlfn.XLOOKUP(A16,tbl_fx_rates_data[Date],tbl_fx_rates_data[HKD_ZAR])</f>
        <v>1.79</v>
      </c>
      <c r="D16" s="3">
        <f t="shared" si="2"/>
        <v>2019</v>
      </c>
      <c r="E16" s="6">
        <f t="shared" si="3"/>
        <v>4843.0117206000004</v>
      </c>
      <c r="F16" s="15">
        <f>_xlfn.XLOOKUP(D16,tbl_ownership[Fiscal_Year],tbl_ownership[Ownership_%])</f>
        <v>0.31</v>
      </c>
      <c r="G16" s="6">
        <f t="shared" si="4"/>
        <v>1501.3336333860002</v>
      </c>
      <c r="H16" s="3">
        <f>_xlfn.XLOOKUP(D16,tbl_netdebt[Fiscal_Year],tbl_netdebt[Net_debt_USD_B],0)</f>
        <v>-9.1</v>
      </c>
      <c r="I16" s="3">
        <f>_xlfn.XLOOKUP(A16,tbl_fx_rates_data[Date],tbl_fx_rates_data[USD_ZAR])</f>
        <v>14.08</v>
      </c>
      <c r="J16" s="6">
        <f t="shared" si="5"/>
        <v>-128.12799999999999</v>
      </c>
      <c r="K16" s="6">
        <f t="shared" si="6"/>
        <v>1629.4616333860001</v>
      </c>
      <c r="L16" s="6">
        <f>_xlfn.XLOOKUP(Table6[[#This Row],[Date]],tbl_naspers_price_data[Date],tbl_naspers_price_data[Market Cap (ZAR B)])</f>
        <v>845.0218000000001</v>
      </c>
      <c r="M16" s="19">
        <f t="shared" si="0"/>
        <v>0.48141043478019441</v>
      </c>
      <c r="N16" s="6">
        <f t="shared" si="1"/>
        <v>784.43983338600003</v>
      </c>
    </row>
    <row r="17" spans="1:14">
      <c r="A17" s="5">
        <f>tbl_price_history!A17</f>
        <v>43555</v>
      </c>
      <c r="B17" s="15">
        <f>_xlfn.XLOOKUP(A17,tbl_tencent_market_data[Date],tbl_tencent_market_data[Market Cap (HKD B)])</f>
        <v>2908.5534900000002</v>
      </c>
      <c r="C17" s="1">
        <f>_xlfn.XLOOKUP(A17,tbl_fx_rates_data[Date],tbl_fx_rates_data[HKD_ZAR])</f>
        <v>1.84</v>
      </c>
      <c r="D17" s="3">
        <f t="shared" si="2"/>
        <v>2019</v>
      </c>
      <c r="E17" s="6">
        <f t="shared" si="3"/>
        <v>5351.7384216000009</v>
      </c>
      <c r="F17" s="15">
        <f>_xlfn.XLOOKUP(D17,tbl_ownership[Fiscal_Year],tbl_ownership[Ownership_%])</f>
        <v>0.31</v>
      </c>
      <c r="G17" s="6">
        <f t="shared" si="4"/>
        <v>1659.0389106960004</v>
      </c>
      <c r="H17" s="3">
        <f>_xlfn.XLOOKUP(D17,tbl_netdebt[Fiscal_Year],tbl_netdebt[Net_debt_USD_B],0)</f>
        <v>-9.1</v>
      </c>
      <c r="I17" s="3">
        <f>_xlfn.XLOOKUP(A17,tbl_fx_rates_data[Date],tbl_fx_rates_data[USD_ZAR])</f>
        <v>14.48</v>
      </c>
      <c r="J17" s="6">
        <f t="shared" si="5"/>
        <v>-131.768</v>
      </c>
      <c r="K17" s="6">
        <f t="shared" si="6"/>
        <v>1790.8069106960004</v>
      </c>
      <c r="L17" s="6">
        <f>_xlfn.XLOOKUP(Table6[[#This Row],[Date]],tbl_naspers_price_data[Date],tbl_naspers_price_data[Market Cap (ZAR B)])</f>
        <v>924.5870000000001</v>
      </c>
      <c r="M17" s="19">
        <f t="shared" si="0"/>
        <v>0.4837036899524485</v>
      </c>
      <c r="N17" s="6">
        <f t="shared" si="1"/>
        <v>866.21991069600028</v>
      </c>
    </row>
    <row r="18" spans="1:14">
      <c r="A18" s="5">
        <f>tbl_price_history!A18</f>
        <v>43585</v>
      </c>
      <c r="B18" s="15">
        <f>_xlfn.XLOOKUP(A18,tbl_tencent_market_data[Date],tbl_tencent_market_data[Market Cap (HKD B)])</f>
        <v>3126.0434399999999</v>
      </c>
      <c r="C18" s="1">
        <f>_xlfn.XLOOKUP(A18,tbl_fx_rates_data[Date],tbl_fx_rates_data[HKD_ZAR])</f>
        <v>1.82</v>
      </c>
      <c r="D18" s="3">
        <f t="shared" si="2"/>
        <v>2020</v>
      </c>
      <c r="E18" s="6">
        <f t="shared" si="3"/>
        <v>5689.3990608000004</v>
      </c>
      <c r="F18" s="15">
        <f>_xlfn.XLOOKUP(D18,tbl_ownership[Fiscal_Year],tbl_ownership[Ownership_%])</f>
        <v>0.31</v>
      </c>
      <c r="G18" s="6">
        <f t="shared" si="4"/>
        <v>1763.7137088480001</v>
      </c>
      <c r="H18" s="3">
        <f>_xlfn.XLOOKUP(D18,tbl_netdebt[Fiscal_Year],tbl_netdebt[Net_debt_USD_B],0)</f>
        <v>-4.4000000000000004</v>
      </c>
      <c r="I18" s="3">
        <f>_xlfn.XLOOKUP(A18,tbl_fx_rates_data[Date],tbl_fx_rates_data[USD_ZAR])</f>
        <v>14.29</v>
      </c>
      <c r="J18" s="6">
        <f t="shared" si="5"/>
        <v>-62.876000000000005</v>
      </c>
      <c r="K18" s="6">
        <f t="shared" si="6"/>
        <v>1826.5897088480001</v>
      </c>
      <c r="L18" s="6">
        <f>_xlfn.XLOOKUP(Table6[[#This Row],[Date]],tbl_naspers_price_data[Date],tbl_naspers_price_data[Market Cap (ZAR B)])</f>
        <v>1014.1888000000001</v>
      </c>
      <c r="M18" s="19">
        <f t="shared" si="0"/>
        <v>0.4447637610749311</v>
      </c>
      <c r="N18" s="6">
        <f t="shared" si="1"/>
        <v>812.40090884799997</v>
      </c>
    </row>
    <row r="19" spans="1:14">
      <c r="A19" s="5">
        <f>tbl_price_history!A19</f>
        <v>43616</v>
      </c>
      <c r="B19" s="15">
        <f>_xlfn.XLOOKUP(A19,tbl_tencent_market_data[Date],tbl_tencent_market_data[Market Cap (HKD B)])</f>
        <v>2626.58844</v>
      </c>
      <c r="C19" s="1">
        <f>_xlfn.XLOOKUP(A19,tbl_fx_rates_data[Date],tbl_fx_rates_data[HKD_ZAR])</f>
        <v>1.86</v>
      </c>
      <c r="D19" s="3">
        <f t="shared" si="2"/>
        <v>2020</v>
      </c>
      <c r="E19" s="6">
        <f t="shared" si="3"/>
        <v>4885.4544984000004</v>
      </c>
      <c r="F19" s="15">
        <f>_xlfn.XLOOKUP(D19,tbl_ownership[Fiscal_Year],tbl_ownership[Ownership_%])</f>
        <v>0.31</v>
      </c>
      <c r="G19" s="6">
        <f t="shared" si="4"/>
        <v>1514.4908945040002</v>
      </c>
      <c r="H19" s="3">
        <f>_xlfn.XLOOKUP(D19,tbl_netdebt[Fiscal_Year],tbl_netdebt[Net_debt_USD_B],0)</f>
        <v>-4.4000000000000004</v>
      </c>
      <c r="I19" s="3">
        <f>_xlfn.XLOOKUP(A19,tbl_fx_rates_data[Date],tbl_fx_rates_data[USD_ZAR])</f>
        <v>14.58</v>
      </c>
      <c r="J19" s="6">
        <f t="shared" si="5"/>
        <v>-64.152000000000001</v>
      </c>
      <c r="K19" s="6">
        <f t="shared" si="6"/>
        <v>1578.6428945040002</v>
      </c>
      <c r="L19" s="6">
        <f>_xlfn.XLOOKUP(Table6[[#This Row],[Date]],tbl_naspers_price_data[Date],tbl_naspers_price_data[Market Cap (ZAR B)])</f>
        <v>908.90080000000012</v>
      </c>
      <c r="M19" s="19">
        <f t="shared" si="0"/>
        <v>0.42425180313780142</v>
      </c>
      <c r="N19" s="6">
        <f t="shared" si="1"/>
        <v>669.74209450400008</v>
      </c>
    </row>
    <row r="20" spans="1:14">
      <c r="A20" s="5">
        <f>tbl_price_history!A20</f>
        <v>43646</v>
      </c>
      <c r="B20" s="15">
        <f>_xlfn.XLOOKUP(A20,tbl_tencent_market_data[Date],tbl_tencent_market_data[Market Cap (HKD B)])</f>
        <v>2849.3453699999995</v>
      </c>
      <c r="C20" s="1">
        <f>_xlfn.XLOOKUP(A20,tbl_fx_rates_data[Date],tbl_fx_rates_data[HKD_ZAR])</f>
        <v>1.8</v>
      </c>
      <c r="D20" s="3">
        <f t="shared" si="2"/>
        <v>2020</v>
      </c>
      <c r="E20" s="6">
        <f t="shared" si="3"/>
        <v>5128.8216659999989</v>
      </c>
      <c r="F20" s="15">
        <f>_xlfn.XLOOKUP(D20,tbl_ownership[Fiscal_Year],tbl_ownership[Ownership_%])</f>
        <v>0.31</v>
      </c>
      <c r="G20" s="6">
        <f t="shared" si="4"/>
        <v>1589.9347164599997</v>
      </c>
      <c r="H20" s="3">
        <f>_xlfn.XLOOKUP(D20,tbl_netdebt[Fiscal_Year],tbl_netdebt[Net_debt_USD_B],0)</f>
        <v>-4.4000000000000004</v>
      </c>
      <c r="I20" s="3">
        <f>_xlfn.XLOOKUP(A20,tbl_fx_rates_data[Date],tbl_fx_rates_data[USD_ZAR])</f>
        <v>14.07</v>
      </c>
      <c r="J20" s="6">
        <f t="shared" si="5"/>
        <v>-61.908000000000008</v>
      </c>
      <c r="K20" s="6">
        <f t="shared" si="6"/>
        <v>1651.8427164599996</v>
      </c>
      <c r="L20" s="6">
        <f>_xlfn.XLOOKUP(Table6[[#This Row],[Date]],tbl_naspers_price_data[Date],tbl_naspers_price_data[Market Cap (ZAR B)])</f>
        <v>948.83320000000003</v>
      </c>
      <c r="M20" s="19">
        <f t="shared" si="0"/>
        <v>0.42559107441330257</v>
      </c>
      <c r="N20" s="6">
        <f t="shared" si="1"/>
        <v>703.00951645999953</v>
      </c>
    </row>
    <row r="21" spans="1:14">
      <c r="A21" s="5">
        <f>tbl_price_history!A21</f>
        <v>43677</v>
      </c>
      <c r="B21" s="15">
        <f>_xlfn.XLOOKUP(A21,tbl_tencent_market_data[Date],tbl_tencent_market_data[Market Cap (HKD B)])</f>
        <v>2975.3896499999996</v>
      </c>
      <c r="C21" s="1">
        <f>_xlfn.XLOOKUP(A21,tbl_fx_rates_data[Date],tbl_fx_rates_data[HKD_ZAR])</f>
        <v>1.83</v>
      </c>
      <c r="D21" s="3">
        <f t="shared" si="2"/>
        <v>2020</v>
      </c>
      <c r="E21" s="6">
        <f t="shared" si="3"/>
        <v>5444.9630594999999</v>
      </c>
      <c r="F21" s="15">
        <f>_xlfn.XLOOKUP(D21,tbl_ownership[Fiscal_Year],tbl_ownership[Ownership_%])</f>
        <v>0.31</v>
      </c>
      <c r="G21" s="6">
        <f t="shared" si="4"/>
        <v>1687.9385484449999</v>
      </c>
      <c r="H21" s="3">
        <f>_xlfn.XLOOKUP(D21,tbl_netdebt[Fiscal_Year],tbl_netdebt[Net_debt_USD_B],0)</f>
        <v>-4.4000000000000004</v>
      </c>
      <c r="I21" s="3">
        <f>_xlfn.XLOOKUP(A21,tbl_fx_rates_data[Date],tbl_fx_rates_data[USD_ZAR])</f>
        <v>14.34</v>
      </c>
      <c r="J21" s="6">
        <f t="shared" si="5"/>
        <v>-63.096000000000004</v>
      </c>
      <c r="K21" s="6">
        <f t="shared" si="6"/>
        <v>1751.0345484449999</v>
      </c>
      <c r="L21" s="6">
        <f>_xlfn.XLOOKUP(Table6[[#This Row],[Date]],tbl_naspers_price_data[Date],tbl_naspers_price_data[Market Cap (ZAR B)])</f>
        <v>973.20780000000002</v>
      </c>
      <c r="M21" s="19">
        <f t="shared" si="0"/>
        <v>0.4442098239213762</v>
      </c>
      <c r="N21" s="6">
        <f t="shared" si="1"/>
        <v>777.82674844499991</v>
      </c>
    </row>
    <row r="22" spans="1:14">
      <c r="A22" s="5">
        <f>tbl_price_history!A22</f>
        <v>43708</v>
      </c>
      <c r="B22" s="15">
        <f>_xlfn.XLOOKUP(A22,tbl_tencent_market_data[Date],tbl_tencent_market_data[Market Cap (HKD B)])</f>
        <v>2624.6814299999996</v>
      </c>
      <c r="C22" s="1">
        <f>_xlfn.XLOOKUP(A22,tbl_fx_rates_data[Date],tbl_fx_rates_data[HKD_ZAR])</f>
        <v>1.94</v>
      </c>
      <c r="D22" s="3">
        <f t="shared" si="2"/>
        <v>2020</v>
      </c>
      <c r="E22" s="6">
        <f t="shared" si="3"/>
        <v>5091.8819741999996</v>
      </c>
      <c r="F22" s="15">
        <f>_xlfn.XLOOKUP(D22,tbl_ownership[Fiscal_Year],tbl_ownership[Ownership_%])</f>
        <v>0.31</v>
      </c>
      <c r="G22" s="6">
        <f t="shared" si="4"/>
        <v>1578.4834120019998</v>
      </c>
      <c r="H22" s="3">
        <f>_xlfn.XLOOKUP(D22,tbl_netdebt[Fiscal_Year],tbl_netdebt[Net_debt_USD_B],0)</f>
        <v>-4.4000000000000004</v>
      </c>
      <c r="I22" s="3">
        <f>_xlfn.XLOOKUP(A22,tbl_fx_rates_data[Date],tbl_fx_rates_data[USD_ZAR])</f>
        <v>15.18</v>
      </c>
      <c r="J22" s="6">
        <f t="shared" si="5"/>
        <v>-66.792000000000002</v>
      </c>
      <c r="K22" s="6">
        <f t="shared" si="6"/>
        <v>1645.2754120019997</v>
      </c>
      <c r="L22" s="6">
        <f>_xlfn.XLOOKUP(Table6[[#This Row],[Date]],tbl_naspers_price_data[Date],tbl_naspers_price_data[Market Cap (ZAR B)])</f>
        <v>958.33480000000009</v>
      </c>
      <c r="M22" s="19">
        <f t="shared" si="0"/>
        <v>0.41752317392631444</v>
      </c>
      <c r="N22" s="6">
        <f t="shared" si="1"/>
        <v>686.94061200199963</v>
      </c>
    </row>
    <row r="23" spans="1:14">
      <c r="A23" s="5">
        <f>tbl_price_history!A23</f>
        <v>43738</v>
      </c>
      <c r="B23" s="15">
        <f>_xlfn.XLOOKUP(A23,tbl_tencent_market_data[Date],tbl_tencent_market_data[Market Cap (HKD B)])</f>
        <v>2668.3610399999998</v>
      </c>
      <c r="C23" s="1">
        <f>_xlfn.XLOOKUP(A23,tbl_fx_rates_data[Date],tbl_fx_rates_data[HKD_ZAR])</f>
        <v>1.93</v>
      </c>
      <c r="D23" s="3">
        <f t="shared" si="2"/>
        <v>2020</v>
      </c>
      <c r="E23" s="6">
        <f t="shared" si="3"/>
        <v>5149.9368071999997</v>
      </c>
      <c r="F23" s="15">
        <f>_xlfn.XLOOKUP(D23,tbl_ownership[Fiscal_Year],tbl_ownership[Ownership_%])</f>
        <v>0.31</v>
      </c>
      <c r="G23" s="6">
        <f t="shared" si="4"/>
        <v>1596.4804102319999</v>
      </c>
      <c r="H23" s="3">
        <f>_xlfn.XLOOKUP(D23,tbl_netdebt[Fiscal_Year],tbl_netdebt[Net_debt_USD_B],0)</f>
        <v>-4.4000000000000004</v>
      </c>
      <c r="I23" s="3">
        <f>_xlfn.XLOOKUP(A23,tbl_fx_rates_data[Date],tbl_fx_rates_data[USD_ZAR])</f>
        <v>15.13</v>
      </c>
      <c r="J23" s="6">
        <f t="shared" si="5"/>
        <v>-66.572000000000003</v>
      </c>
      <c r="K23" s="6">
        <f t="shared" si="6"/>
        <v>1663.0524102320001</v>
      </c>
      <c r="L23" s="6">
        <f>_xlfn.XLOOKUP(Table6[[#This Row],[Date]],tbl_naspers_price_data[Date],tbl_naspers_price_data[Market Cap (ZAR B)])</f>
        <v>982.08880000000011</v>
      </c>
      <c r="M23" s="19">
        <f t="shared" si="0"/>
        <v>0.40946611546475786</v>
      </c>
      <c r="N23" s="6">
        <f t="shared" si="1"/>
        <v>680.96361023199995</v>
      </c>
    </row>
    <row r="24" spans="1:14">
      <c r="A24" s="5">
        <f>tbl_price_history!A24</f>
        <v>43769</v>
      </c>
      <c r="B24" s="15">
        <f>_xlfn.XLOOKUP(A24,tbl_tencent_market_data[Date],tbl_tencent_market_data[Market Cap (HKD B)])</f>
        <v>2592.3530700000001</v>
      </c>
      <c r="C24" s="1">
        <f>_xlfn.XLOOKUP(A24,tbl_fx_rates_data[Date],tbl_fx_rates_data[HKD_ZAR])</f>
        <v>1.93</v>
      </c>
      <c r="D24" s="3">
        <f t="shared" si="2"/>
        <v>2020</v>
      </c>
      <c r="E24" s="6">
        <f t="shared" si="3"/>
        <v>5003.2414251</v>
      </c>
      <c r="F24" s="15">
        <f>_xlfn.XLOOKUP(D24,tbl_ownership[Fiscal_Year],tbl_ownership[Ownership_%])</f>
        <v>0.31</v>
      </c>
      <c r="G24" s="6">
        <f t="shared" si="4"/>
        <v>1551.0048417810001</v>
      </c>
      <c r="H24" s="3">
        <f>_xlfn.XLOOKUP(D24,tbl_netdebt[Fiscal_Year],tbl_netdebt[Net_debt_USD_B],0)</f>
        <v>-4.4000000000000004</v>
      </c>
      <c r="I24" s="3">
        <f>_xlfn.XLOOKUP(A24,tbl_fx_rates_data[Date],tbl_fx_rates_data[USD_ZAR])</f>
        <v>15.09</v>
      </c>
      <c r="J24" s="6">
        <f t="shared" si="5"/>
        <v>-66.396000000000001</v>
      </c>
      <c r="K24" s="6">
        <f t="shared" si="6"/>
        <v>1617.4008417810001</v>
      </c>
      <c r="L24" s="6">
        <f>_xlfn.XLOOKUP(Table6[[#This Row],[Date]],tbl_naspers_price_data[Date],tbl_naspers_price_data[Market Cap (ZAR B)])</f>
        <v>918.16700000000003</v>
      </c>
      <c r="M24" s="19">
        <f t="shared" si="0"/>
        <v>0.43231944964925273</v>
      </c>
      <c r="N24" s="6">
        <f t="shared" si="1"/>
        <v>699.23384178100002</v>
      </c>
    </row>
    <row r="25" spans="1:14">
      <c r="A25" s="5">
        <f>tbl_price_history!A25</f>
        <v>43799</v>
      </c>
      <c r="B25" s="15">
        <f>_xlfn.XLOOKUP(A25,tbl_tencent_market_data[Date],tbl_tencent_market_data[Market Cap (HKD B)])</f>
        <v>2681.2560599999997</v>
      </c>
      <c r="C25" s="1">
        <f>_xlfn.XLOOKUP(A25,tbl_fx_rates_data[Date],tbl_fx_rates_data[HKD_ZAR])</f>
        <v>1.87</v>
      </c>
      <c r="D25" s="3">
        <f t="shared" si="2"/>
        <v>2020</v>
      </c>
      <c r="E25" s="6">
        <f t="shared" si="3"/>
        <v>5013.9488321999997</v>
      </c>
      <c r="F25" s="15">
        <f>_xlfn.XLOOKUP(D25,tbl_ownership[Fiscal_Year],tbl_ownership[Ownership_%])</f>
        <v>0.31</v>
      </c>
      <c r="G25" s="6">
        <f t="shared" si="4"/>
        <v>1554.3241379819999</v>
      </c>
      <c r="H25" s="3">
        <f>_xlfn.XLOOKUP(D25,tbl_netdebt[Fiscal_Year],tbl_netdebt[Net_debt_USD_B],0)</f>
        <v>-4.4000000000000004</v>
      </c>
      <c r="I25" s="3">
        <f>_xlfn.XLOOKUP(A25,tbl_fx_rates_data[Date],tbl_fx_rates_data[USD_ZAR])</f>
        <v>14.64</v>
      </c>
      <c r="J25" s="6">
        <f t="shared" si="5"/>
        <v>-64.416000000000011</v>
      </c>
      <c r="K25" s="6">
        <f t="shared" si="6"/>
        <v>1618.7401379819999</v>
      </c>
      <c r="L25" s="6">
        <f>_xlfn.XLOOKUP(Table6[[#This Row],[Date]],tbl_naspers_price_data[Date],tbl_naspers_price_data[Market Cap (ZAR B)])</f>
        <v>896.44600000000003</v>
      </c>
      <c r="M25" s="19">
        <f t="shared" si="0"/>
        <v>0.44620759134473975</v>
      </c>
      <c r="N25" s="6">
        <f t="shared" si="1"/>
        <v>722.29413798199982</v>
      </c>
    </row>
    <row r="26" spans="1:14">
      <c r="A26" s="5">
        <f>tbl_price_history!A26</f>
        <v>43830</v>
      </c>
      <c r="B26" s="15">
        <f>_xlfn.XLOOKUP(A26,tbl_tencent_market_data[Date],tbl_tencent_market_data[Market Cap (HKD B)])</f>
        <v>3035.23344</v>
      </c>
      <c r="C26" s="1">
        <f>_xlfn.XLOOKUP(A26,tbl_fx_rates_data[Date],tbl_fx_rates_data[HKD_ZAR])</f>
        <v>1.8</v>
      </c>
      <c r="D26" s="3">
        <f t="shared" si="2"/>
        <v>2020</v>
      </c>
      <c r="E26" s="6">
        <f t="shared" si="3"/>
        <v>5463.4201920000005</v>
      </c>
      <c r="F26" s="15">
        <f>_xlfn.XLOOKUP(D26,tbl_ownership[Fiscal_Year],tbl_ownership[Ownership_%])</f>
        <v>0.31</v>
      </c>
      <c r="G26" s="6">
        <f t="shared" si="4"/>
        <v>1693.6602595200002</v>
      </c>
      <c r="H26" s="3">
        <f>_xlfn.XLOOKUP(D26,tbl_netdebt[Fiscal_Year],tbl_netdebt[Net_debt_USD_B],0)</f>
        <v>-4.4000000000000004</v>
      </c>
      <c r="I26" s="3">
        <f>_xlfn.XLOOKUP(A26,tbl_fx_rates_data[Date],tbl_fx_rates_data[USD_ZAR])</f>
        <v>14</v>
      </c>
      <c r="J26" s="6">
        <f t="shared" si="5"/>
        <v>-61.600000000000009</v>
      </c>
      <c r="K26" s="6">
        <f t="shared" si="6"/>
        <v>1755.2602595200001</v>
      </c>
      <c r="L26" s="6">
        <f>_xlfn.XLOOKUP(Table6[[#This Row],[Date]],tbl_naspers_price_data[Date],tbl_naspers_price_data[Market Cap (ZAR B)])</f>
        <v>980.2912</v>
      </c>
      <c r="M26" s="19">
        <f t="shared" si="0"/>
        <v>0.44151233716869198</v>
      </c>
      <c r="N26" s="6">
        <f t="shared" si="1"/>
        <v>774.96905952000009</v>
      </c>
    </row>
    <row r="27" spans="1:14">
      <c r="A27" s="5">
        <f>tbl_price_history!A27</f>
        <v>43861</v>
      </c>
      <c r="B27" s="15">
        <f>_xlfn.XLOOKUP(A27,tbl_tencent_market_data[Date],tbl_tencent_market_data[Market Cap (HKD B)])</f>
        <v>3014.2563299999997</v>
      </c>
      <c r="C27" s="1">
        <f>_xlfn.XLOOKUP(A27,tbl_fx_rates_data[Date],tbl_fx_rates_data[HKD_ZAR])</f>
        <v>1.93</v>
      </c>
      <c r="D27" s="3">
        <f t="shared" si="2"/>
        <v>2020</v>
      </c>
      <c r="E27" s="6">
        <f t="shared" si="3"/>
        <v>5817.5147168999993</v>
      </c>
      <c r="F27" s="15">
        <f>_xlfn.XLOOKUP(D27,tbl_ownership[Fiscal_Year],tbl_ownership[Ownership_%])</f>
        <v>0.31</v>
      </c>
      <c r="G27" s="6">
        <f t="shared" si="4"/>
        <v>1803.4295622389998</v>
      </c>
      <c r="H27" s="3">
        <f>_xlfn.XLOOKUP(D27,tbl_netdebt[Fiscal_Year],tbl_netdebt[Net_debt_USD_B],0)</f>
        <v>-4.4000000000000004</v>
      </c>
      <c r="I27" s="3">
        <f>_xlfn.XLOOKUP(A27,tbl_fx_rates_data[Date],tbl_fx_rates_data[USD_ZAR])</f>
        <v>15</v>
      </c>
      <c r="J27" s="6">
        <f t="shared" si="5"/>
        <v>-66</v>
      </c>
      <c r="K27" s="6">
        <f t="shared" si="6"/>
        <v>1869.4295622389998</v>
      </c>
      <c r="L27" s="6">
        <f>_xlfn.XLOOKUP(Table6[[#This Row],[Date]],tbl_naspers_price_data[Date],tbl_naspers_price_data[Market Cap (ZAR B)])</f>
        <v>1053.0084000000002</v>
      </c>
      <c r="M27" s="19">
        <f t="shared" si="0"/>
        <v>0.4367220775417604</v>
      </c>
      <c r="N27" s="6">
        <f t="shared" si="1"/>
        <v>816.42116223899961</v>
      </c>
    </row>
    <row r="28" spans="1:14">
      <c r="A28" s="5">
        <f>tbl_price_history!A28</f>
        <v>43890</v>
      </c>
      <c r="B28" s="15">
        <f>_xlfn.XLOOKUP(A28,tbl_tencent_market_data[Date],tbl_tencent_market_data[Market Cap (HKD B)])</f>
        <v>3119.2326899999998</v>
      </c>
      <c r="C28" s="1">
        <f>_xlfn.XLOOKUP(A28,tbl_fx_rates_data[Date],tbl_fx_rates_data[HKD_ZAR])</f>
        <v>2.0099999999999998</v>
      </c>
      <c r="D28" s="3">
        <f t="shared" si="2"/>
        <v>2020</v>
      </c>
      <c r="E28" s="6">
        <f t="shared" si="3"/>
        <v>6269.6577068999986</v>
      </c>
      <c r="F28" s="15">
        <f>_xlfn.XLOOKUP(D28,tbl_ownership[Fiscal_Year],tbl_ownership[Ownership_%])</f>
        <v>0.31</v>
      </c>
      <c r="G28" s="6">
        <f t="shared" si="4"/>
        <v>1943.5938891389997</v>
      </c>
      <c r="H28" s="3">
        <f>_xlfn.XLOOKUP(D28,tbl_netdebt[Fiscal_Year],tbl_netdebt[Net_debt_USD_B],0)</f>
        <v>-4.4000000000000004</v>
      </c>
      <c r="I28" s="3">
        <f>_xlfn.XLOOKUP(A28,tbl_fx_rates_data[Date],tbl_fx_rates_data[USD_ZAR])</f>
        <v>15.66</v>
      </c>
      <c r="J28" s="6">
        <f t="shared" si="5"/>
        <v>-68.904000000000011</v>
      </c>
      <c r="K28" s="6">
        <f t="shared" si="6"/>
        <v>2012.4978891389997</v>
      </c>
      <c r="L28" s="6">
        <f>_xlfn.XLOOKUP(Table6[[#This Row],[Date]],tbl_naspers_price_data[Date],tbl_naspers_price_data[Market Cap (ZAR B)])</f>
        <v>1018.8540000000002</v>
      </c>
      <c r="M28" s="19">
        <f t="shared" si="0"/>
        <v>0.49373661185011575</v>
      </c>
      <c r="N28" s="6">
        <f t="shared" si="1"/>
        <v>993.6438891389995</v>
      </c>
    </row>
    <row r="29" spans="1:14">
      <c r="A29" s="5">
        <f>tbl_price_history!A29</f>
        <v>43921</v>
      </c>
      <c r="B29" s="15">
        <f>_xlfn.XLOOKUP(A29,tbl_tencent_market_data[Date],tbl_tencent_market_data[Market Cap (HKD B)])</f>
        <v>3072.3747299999995</v>
      </c>
      <c r="C29" s="1">
        <f>_xlfn.XLOOKUP(A29,tbl_fx_rates_data[Date],tbl_fx_rates_data[HKD_ZAR])</f>
        <v>2.2999999999999998</v>
      </c>
      <c r="D29" s="3">
        <f t="shared" si="2"/>
        <v>2020</v>
      </c>
      <c r="E29" s="6">
        <f t="shared" si="3"/>
        <v>7066.4618789999986</v>
      </c>
      <c r="F29" s="15">
        <f>_xlfn.XLOOKUP(D29,tbl_ownership[Fiscal_Year],tbl_ownership[Ownership_%])</f>
        <v>0.31</v>
      </c>
      <c r="G29" s="6">
        <f t="shared" si="4"/>
        <v>2190.6031824899997</v>
      </c>
      <c r="H29" s="3">
        <f>_xlfn.XLOOKUP(D29,tbl_netdebt[Fiscal_Year],tbl_netdebt[Net_debt_USD_B],0)</f>
        <v>-4.4000000000000004</v>
      </c>
      <c r="I29" s="3">
        <f>_xlfn.XLOOKUP(A29,tbl_fx_rates_data[Date],tbl_fx_rates_data[USD_ZAR])</f>
        <v>17.84</v>
      </c>
      <c r="J29" s="6">
        <f t="shared" si="5"/>
        <v>-78.496000000000009</v>
      </c>
      <c r="K29" s="6">
        <f t="shared" si="6"/>
        <v>2269.0991824899997</v>
      </c>
      <c r="L29" s="6">
        <f>_xlfn.XLOOKUP(Table6[[#This Row],[Date]],tbl_naspers_price_data[Date],tbl_naspers_price_data[Market Cap (ZAR B)])</f>
        <v>1092.7909999999999</v>
      </c>
      <c r="M29" s="19">
        <f t="shared" si="0"/>
        <v>0.51840315820799687</v>
      </c>
      <c r="N29" s="6">
        <f t="shared" si="1"/>
        <v>1176.3081824899998</v>
      </c>
    </row>
    <row r="30" spans="1:14">
      <c r="A30" s="5">
        <f>tbl_price_history!A30</f>
        <v>43951</v>
      </c>
      <c r="B30" s="15">
        <f>_xlfn.XLOOKUP(A30,tbl_tencent_market_data[Date],tbl_tencent_market_data[Market Cap (HKD B)])</f>
        <v>3369.7774799999997</v>
      </c>
      <c r="C30" s="1">
        <f>_xlfn.XLOOKUP(A30,tbl_fx_rates_data[Date],tbl_fx_rates_data[HKD_ZAR])</f>
        <v>2.39</v>
      </c>
      <c r="D30" s="3">
        <f t="shared" si="2"/>
        <v>2021</v>
      </c>
      <c r="E30" s="6">
        <f t="shared" si="3"/>
        <v>8053.7681771999996</v>
      </c>
      <c r="F30" s="15">
        <f>_xlfn.XLOOKUP(D30,tbl_ownership[Fiscal_Year],tbl_ownership[Ownership_%])</f>
        <v>0.28999999999999998</v>
      </c>
      <c r="G30" s="6">
        <f t="shared" si="4"/>
        <v>2335.5927713879996</v>
      </c>
      <c r="H30" s="3">
        <f>_xlfn.XLOOKUP(D30,tbl_netdebt[Fiscal_Year],tbl_netdebt[Net_debt_USD_B],0)</f>
        <v>-3.9</v>
      </c>
      <c r="I30" s="3">
        <f>_xlfn.XLOOKUP(A30,tbl_fx_rates_data[Date],tbl_fx_rates_data[USD_ZAR])</f>
        <v>18.510000000000002</v>
      </c>
      <c r="J30" s="6">
        <f t="shared" si="5"/>
        <v>-72.189000000000007</v>
      </c>
      <c r="K30" s="6">
        <f t="shared" si="6"/>
        <v>2407.7817713879995</v>
      </c>
      <c r="L30" s="6">
        <f>_xlfn.XLOOKUP(Table6[[#This Row],[Date]],tbl_naspers_price_data[Date],tbl_naspers_price_data[Market Cap (ZAR B)])</f>
        <v>1240.4938</v>
      </c>
      <c r="M30" s="19">
        <f t="shared" si="0"/>
        <v>0.48479807649473983</v>
      </c>
      <c r="N30" s="6">
        <f t="shared" si="1"/>
        <v>1167.2879713879995</v>
      </c>
    </row>
    <row r="31" spans="1:14">
      <c r="A31" s="5">
        <f>tbl_price_history!A31</f>
        <v>43982</v>
      </c>
      <c r="B31" s="15">
        <f>_xlfn.XLOOKUP(A31,tbl_tencent_market_data[Date],tbl_tencent_market_data[Market Cap (HKD B)])</f>
        <v>3316.4720099999995</v>
      </c>
      <c r="C31" s="1">
        <f>_xlfn.XLOOKUP(A31,tbl_fx_rates_data[Date],tbl_fx_rates_data[HKD_ZAR])</f>
        <v>2.2599999999999998</v>
      </c>
      <c r="D31" s="3">
        <f t="shared" si="2"/>
        <v>2021</v>
      </c>
      <c r="E31" s="6">
        <f t="shared" si="3"/>
        <v>7495.226742599998</v>
      </c>
      <c r="F31" s="15">
        <f>_xlfn.XLOOKUP(D31,tbl_ownership[Fiscal_Year],tbl_ownership[Ownership_%])</f>
        <v>0.28999999999999998</v>
      </c>
      <c r="G31" s="6">
        <f t="shared" si="4"/>
        <v>2173.6157553539992</v>
      </c>
      <c r="H31" s="3">
        <f>_xlfn.XLOOKUP(D31,tbl_netdebt[Fiscal_Year],tbl_netdebt[Net_debt_USD_B],0)</f>
        <v>-3.9</v>
      </c>
      <c r="I31" s="3">
        <f>_xlfn.XLOOKUP(A31,tbl_fx_rates_data[Date],tbl_fx_rates_data[USD_ZAR])</f>
        <v>17.54</v>
      </c>
      <c r="J31" s="6">
        <f t="shared" si="5"/>
        <v>-68.405999999999992</v>
      </c>
      <c r="K31" s="6">
        <f t="shared" si="6"/>
        <v>2242.0217553539992</v>
      </c>
      <c r="L31" s="6">
        <f>_xlfn.XLOOKUP(Table6[[#This Row],[Date]],tbl_naspers_price_data[Date],tbl_naspers_price_data[Market Cap (ZAR B)])</f>
        <v>1193.1784</v>
      </c>
      <c r="M31" s="19">
        <f t="shared" si="0"/>
        <v>0.46781140854201675</v>
      </c>
      <c r="N31" s="6">
        <f t="shared" si="1"/>
        <v>1048.8433553539992</v>
      </c>
    </row>
    <row r="32" spans="1:14">
      <c r="A32" s="5">
        <f>tbl_price_history!A32</f>
        <v>44012</v>
      </c>
      <c r="B32" s="15">
        <f>_xlfn.XLOOKUP(A32,tbl_tencent_market_data[Date],tbl_tencent_market_data[Market Cap (HKD B)])</f>
        <v>4041.4082399999998</v>
      </c>
      <c r="C32" s="1">
        <f>_xlfn.XLOOKUP(A32,tbl_fx_rates_data[Date],tbl_fx_rates_data[HKD_ZAR])</f>
        <v>2.23</v>
      </c>
      <c r="D32" s="3">
        <f t="shared" si="2"/>
        <v>2021</v>
      </c>
      <c r="E32" s="6">
        <f t="shared" si="3"/>
        <v>9012.3403751999995</v>
      </c>
      <c r="F32" s="15">
        <f>_xlfn.XLOOKUP(D32,tbl_ownership[Fiscal_Year],tbl_ownership[Ownership_%])</f>
        <v>0.28999999999999998</v>
      </c>
      <c r="G32" s="6">
        <f t="shared" si="4"/>
        <v>2613.5787088079996</v>
      </c>
      <c r="H32" s="3">
        <f>_xlfn.XLOOKUP(D32,tbl_netdebt[Fiscal_Year],tbl_netdebt[Net_debt_USD_B],0)</f>
        <v>-3.9</v>
      </c>
      <c r="I32" s="3">
        <f>_xlfn.XLOOKUP(A32,tbl_fx_rates_data[Date],tbl_fx_rates_data[USD_ZAR])</f>
        <v>17.32</v>
      </c>
      <c r="J32" s="6">
        <f t="shared" si="5"/>
        <v>-67.548000000000002</v>
      </c>
      <c r="K32" s="6">
        <f t="shared" si="6"/>
        <v>2681.1267088079994</v>
      </c>
      <c r="L32" s="6">
        <f>_xlfn.XLOOKUP(Table6[[#This Row],[Date]],tbl_naspers_price_data[Date],tbl_naspers_price_data[Market Cap (ZAR B)])</f>
        <v>1353.5714</v>
      </c>
      <c r="M32" s="19">
        <f t="shared" si="0"/>
        <v>0.49514829136822724</v>
      </c>
      <c r="N32" s="6">
        <f t="shared" si="1"/>
        <v>1327.5553088079994</v>
      </c>
    </row>
    <row r="33" spans="1:14">
      <c r="A33" s="5">
        <f>tbl_price_history!A33</f>
        <v>44043</v>
      </c>
      <c r="B33" s="15">
        <f>_xlfn.XLOOKUP(A33,tbl_tencent_market_data[Date],tbl_tencent_market_data[Market Cap (HKD B)])</f>
        <v>4328.3678399999999</v>
      </c>
      <c r="C33" s="1">
        <f>_xlfn.XLOOKUP(A33,tbl_fx_rates_data[Date],tbl_fx_rates_data[HKD_ZAR])</f>
        <v>2.2000000000000002</v>
      </c>
      <c r="D33" s="3">
        <f t="shared" si="2"/>
        <v>2021</v>
      </c>
      <c r="E33" s="6">
        <f t="shared" si="3"/>
        <v>9522.4092479999999</v>
      </c>
      <c r="F33" s="15">
        <f>_xlfn.XLOOKUP(D33,tbl_ownership[Fiscal_Year],tbl_ownership[Ownership_%])</f>
        <v>0.28999999999999998</v>
      </c>
      <c r="G33" s="6">
        <f t="shared" si="4"/>
        <v>2761.4986819199999</v>
      </c>
      <c r="H33" s="3">
        <f>_xlfn.XLOOKUP(D33,tbl_netdebt[Fiscal_Year],tbl_netdebt[Net_debt_USD_B],0)</f>
        <v>-3.9</v>
      </c>
      <c r="I33" s="3">
        <f>_xlfn.XLOOKUP(A33,tbl_fx_rates_data[Date],tbl_fx_rates_data[USD_ZAR])</f>
        <v>17.010000000000002</v>
      </c>
      <c r="J33" s="6">
        <f t="shared" si="5"/>
        <v>-66.338999999999999</v>
      </c>
      <c r="K33" s="6">
        <f t="shared" si="6"/>
        <v>2827.8376819199998</v>
      </c>
      <c r="L33" s="6">
        <f>_xlfn.XLOOKUP(Table6[[#This Row],[Date]],tbl_naspers_price_data[Date],tbl_naspers_price_data[Market Cap (ZAR B)])</f>
        <v>1346.8518000000001</v>
      </c>
      <c r="M33" s="19">
        <f t="shared" si="0"/>
        <v>0.52371672228176247</v>
      </c>
      <c r="N33" s="6">
        <f t="shared" si="1"/>
        <v>1480.9858819199997</v>
      </c>
    </row>
    <row r="34" spans="1:14">
      <c r="A34" s="5">
        <f>tbl_price_history!A34</f>
        <v>44074</v>
      </c>
      <c r="B34" s="15">
        <f>_xlfn.XLOOKUP(A34,tbl_tencent_market_data[Date],tbl_tencent_market_data[Market Cap (HKD B)])</f>
        <v>4299.9443099999999</v>
      </c>
      <c r="C34" s="1">
        <f>_xlfn.XLOOKUP(A34,tbl_fx_rates_data[Date],tbl_fx_rates_data[HKD_ZAR])</f>
        <v>2.19</v>
      </c>
      <c r="D34" s="3">
        <f t="shared" si="2"/>
        <v>2021</v>
      </c>
      <c r="E34" s="6">
        <f t="shared" si="3"/>
        <v>9416.8780389000003</v>
      </c>
      <c r="F34" s="15">
        <f>_xlfn.XLOOKUP(D34,tbl_ownership[Fiscal_Year],tbl_ownership[Ownership_%])</f>
        <v>0.28999999999999998</v>
      </c>
      <c r="G34" s="6">
        <f t="shared" si="4"/>
        <v>2730.8946312809999</v>
      </c>
      <c r="H34" s="3">
        <f>_xlfn.XLOOKUP(D34,tbl_netdebt[Fiscal_Year],tbl_netdebt[Net_debt_USD_B],0)</f>
        <v>-3.9</v>
      </c>
      <c r="I34" s="3">
        <f>_xlfn.XLOOKUP(A34,tbl_fx_rates_data[Date],tbl_fx_rates_data[USD_ZAR])</f>
        <v>16.940000000000001</v>
      </c>
      <c r="J34" s="6">
        <f t="shared" si="5"/>
        <v>-66.066000000000003</v>
      </c>
      <c r="K34" s="6">
        <f t="shared" si="6"/>
        <v>2796.9606312809997</v>
      </c>
      <c r="L34" s="6">
        <f>_xlfn.XLOOKUP(Table6[[#This Row],[Date]],tbl_naspers_price_data[Date],tbl_naspers_price_data[Market Cap (ZAR B)])</f>
        <v>1323.4616000000001</v>
      </c>
      <c r="M34" s="19">
        <f t="shared" si="0"/>
        <v>0.52682151289563972</v>
      </c>
      <c r="N34" s="6">
        <f t="shared" si="1"/>
        <v>1473.4990312809996</v>
      </c>
    </row>
    <row r="35" spans="1:14">
      <c r="A35" s="5">
        <f>tbl_price_history!A35</f>
        <v>44104</v>
      </c>
      <c r="B35" s="15">
        <f>_xlfn.XLOOKUP(A35,tbl_tencent_market_data[Date],tbl_tencent_market_data[Market Cap (HKD B)])</f>
        <v>4145.93055</v>
      </c>
      <c r="C35" s="1">
        <f>_xlfn.XLOOKUP(A35,tbl_fx_rates_data[Date],tbl_fx_rates_data[HKD_ZAR])</f>
        <v>2.16</v>
      </c>
      <c r="D35" s="3">
        <f t="shared" si="2"/>
        <v>2021</v>
      </c>
      <c r="E35" s="6">
        <f t="shared" si="3"/>
        <v>8955.2099880000005</v>
      </c>
      <c r="F35" s="15">
        <f>_xlfn.XLOOKUP(D35,tbl_ownership[Fiscal_Year],tbl_ownership[Ownership_%])</f>
        <v>0.28999999999999998</v>
      </c>
      <c r="G35" s="6">
        <f t="shared" si="4"/>
        <v>2597.0108965200002</v>
      </c>
      <c r="H35" s="3">
        <f>_xlfn.XLOOKUP(D35,tbl_netdebt[Fiscal_Year],tbl_netdebt[Net_debt_USD_B],0)</f>
        <v>-3.9</v>
      </c>
      <c r="I35" s="3">
        <f>_xlfn.XLOOKUP(A35,tbl_fx_rates_data[Date],tbl_fx_rates_data[USD_ZAR])</f>
        <v>16.73</v>
      </c>
      <c r="J35" s="6">
        <f t="shared" si="5"/>
        <v>-65.247</v>
      </c>
      <c r="K35" s="6">
        <f t="shared" si="6"/>
        <v>2662.25789652</v>
      </c>
      <c r="L35" s="6">
        <f>_xlfn.XLOOKUP(Table6[[#This Row],[Date]],tbl_naspers_price_data[Date],tbl_naspers_price_data[Market Cap (ZAR B)])</f>
        <v>1266.6659999999999</v>
      </c>
      <c r="M35" s="19">
        <f t="shared" si="0"/>
        <v>0.52421363773369345</v>
      </c>
      <c r="N35" s="6">
        <f t="shared" si="1"/>
        <v>1395.5918965200001</v>
      </c>
    </row>
    <row r="36" spans="1:14">
      <c r="A36" s="5">
        <f>tbl_price_history!A36</f>
        <v>44135</v>
      </c>
      <c r="B36" s="15">
        <f>_xlfn.XLOOKUP(A36,tbl_tencent_market_data[Date],tbl_tencent_market_data[Market Cap (HKD B)])</f>
        <v>4790.3183099999997</v>
      </c>
      <c r="C36" s="1">
        <f>_xlfn.XLOOKUP(A36,tbl_fx_rates_data[Date],tbl_fx_rates_data[HKD_ZAR])</f>
        <v>2.1</v>
      </c>
      <c r="D36" s="3">
        <f t="shared" si="2"/>
        <v>2021</v>
      </c>
      <c r="E36" s="6">
        <f t="shared" si="3"/>
        <v>10059.668451</v>
      </c>
      <c r="F36" s="15">
        <f>_xlfn.XLOOKUP(D36,tbl_ownership[Fiscal_Year],tbl_ownership[Ownership_%])</f>
        <v>0.28999999999999998</v>
      </c>
      <c r="G36" s="6">
        <f t="shared" si="4"/>
        <v>2917.3038507899996</v>
      </c>
      <c r="H36" s="3">
        <f>_xlfn.XLOOKUP(D36,tbl_netdebt[Fiscal_Year],tbl_netdebt[Net_debt_USD_B],0)</f>
        <v>-3.9</v>
      </c>
      <c r="I36" s="3">
        <f>_xlfn.XLOOKUP(A36,tbl_fx_rates_data[Date],tbl_fx_rates_data[USD_ZAR])</f>
        <v>16.239999999999998</v>
      </c>
      <c r="J36" s="6">
        <f t="shared" si="5"/>
        <v>-63.335999999999991</v>
      </c>
      <c r="K36" s="6">
        <f t="shared" si="6"/>
        <v>2980.6398507899994</v>
      </c>
      <c r="L36" s="6">
        <f>_xlfn.XLOOKUP(Table6[[#This Row],[Date]],tbl_naspers_price_data[Date],tbl_naspers_price_data[Market Cap (ZAR B)])</f>
        <v>1352.8009999999999</v>
      </c>
      <c r="M36" s="19">
        <f t="shared" si="0"/>
        <v>0.54613738401120526</v>
      </c>
      <c r="N36" s="6">
        <f t="shared" si="1"/>
        <v>1627.8388507899995</v>
      </c>
    </row>
    <row r="37" spans="1:14">
      <c r="A37" s="5">
        <f>tbl_price_history!A37</f>
        <v>44165</v>
      </c>
      <c r="B37" s="15">
        <f>_xlfn.XLOOKUP(A37,tbl_tencent_market_data[Date],tbl_tencent_market_data[Market Cap (HKD B)])</f>
        <v>4563.3841199999997</v>
      </c>
      <c r="C37" s="1">
        <f>_xlfn.XLOOKUP(A37,tbl_fx_rates_data[Date],tbl_fx_rates_data[HKD_ZAR])</f>
        <v>1.96</v>
      </c>
      <c r="D37" s="3">
        <f t="shared" si="2"/>
        <v>2021</v>
      </c>
      <c r="E37" s="6">
        <f t="shared" si="3"/>
        <v>8944.2328751999994</v>
      </c>
      <c r="F37" s="15">
        <f>_xlfn.XLOOKUP(D37,tbl_ownership[Fiscal_Year],tbl_ownership[Ownership_%])</f>
        <v>0.28999999999999998</v>
      </c>
      <c r="G37" s="6">
        <f t="shared" si="4"/>
        <v>2593.8275338079998</v>
      </c>
      <c r="H37" s="3">
        <f>_xlfn.XLOOKUP(D37,tbl_netdebt[Fiscal_Year],tbl_netdebt[Net_debt_USD_B],0)</f>
        <v>-3.9</v>
      </c>
      <c r="I37" s="3">
        <f>_xlfn.XLOOKUP(A37,tbl_fx_rates_data[Date],tbl_fx_rates_data[USD_ZAR])</f>
        <v>15.47</v>
      </c>
      <c r="J37" s="6">
        <f t="shared" si="5"/>
        <v>-60.332999999999998</v>
      </c>
      <c r="K37" s="6">
        <f t="shared" si="6"/>
        <v>2654.1605338079999</v>
      </c>
      <c r="L37" s="6">
        <f>_xlfn.XLOOKUP(Table6[[#This Row],[Date]],tbl_naspers_price_data[Date],tbl_naspers_price_data[Market Cap (ZAR B)])</f>
        <v>1338.9551999999999</v>
      </c>
      <c r="M37" s="19">
        <f t="shared" si="0"/>
        <v>0.49552591753786546</v>
      </c>
      <c r="N37" s="6">
        <f t="shared" si="1"/>
        <v>1315.205333808</v>
      </c>
    </row>
    <row r="38" spans="1:14">
      <c r="A38" s="5">
        <f>tbl_price_history!A38</f>
        <v>44196</v>
      </c>
      <c r="B38" s="15">
        <f>_xlfn.XLOOKUP(A38,tbl_tencent_market_data[Date],tbl_tencent_market_data[Market Cap (HKD B)])</f>
        <v>4587.7212</v>
      </c>
      <c r="C38" s="1">
        <f>_xlfn.XLOOKUP(A38,tbl_fx_rates_data[Date],tbl_fx_rates_data[HKD_ZAR])</f>
        <v>1.89</v>
      </c>
      <c r="D38" s="3">
        <f t="shared" si="2"/>
        <v>2021</v>
      </c>
      <c r="E38" s="6">
        <f t="shared" si="3"/>
        <v>8670.793067999999</v>
      </c>
      <c r="F38" s="15">
        <f>_xlfn.XLOOKUP(D38,tbl_ownership[Fiscal_Year],tbl_ownership[Ownership_%])</f>
        <v>0.28999999999999998</v>
      </c>
      <c r="G38" s="6">
        <f t="shared" si="4"/>
        <v>2514.5299897199993</v>
      </c>
      <c r="H38" s="3">
        <f>_xlfn.XLOOKUP(D38,tbl_netdebt[Fiscal_Year],tbl_netdebt[Net_debt_USD_B],0)</f>
        <v>-3.9</v>
      </c>
      <c r="I38" s="3">
        <f>_xlfn.XLOOKUP(A38,tbl_fx_rates_data[Date],tbl_fx_rates_data[USD_ZAR])</f>
        <v>14.69</v>
      </c>
      <c r="J38" s="6">
        <f t="shared" si="5"/>
        <v>-57.290999999999997</v>
      </c>
      <c r="K38" s="6">
        <f t="shared" si="6"/>
        <v>2571.8209897199995</v>
      </c>
      <c r="L38" s="6">
        <f>_xlfn.XLOOKUP(Table6[[#This Row],[Date]],tbl_naspers_price_data[Date],tbl_naspers_price_data[Market Cap (ZAR B)])</f>
        <v>1292.0892000000001</v>
      </c>
      <c r="M38" s="19">
        <f t="shared" ref="M38:M69" si="7">1-(L38/K38)</f>
        <v>0.49759753685629848</v>
      </c>
      <c r="N38" s="6">
        <f t="shared" ref="N38:N69" si="8">K38-L38</f>
        <v>1279.7317897199994</v>
      </c>
    </row>
    <row r="39" spans="1:14">
      <c r="A39" s="5">
        <f>tbl_price_history!A39</f>
        <v>44227</v>
      </c>
      <c r="B39" s="15">
        <f>_xlfn.XLOOKUP(A39,tbl_tencent_market_data[Date],tbl_tencent_market_data[Market Cap (HKD B)])</f>
        <v>5523.8814899999998</v>
      </c>
      <c r="C39" s="1">
        <f>_xlfn.XLOOKUP(A39,tbl_fx_rates_data[Date],tbl_fx_rates_data[HKD_ZAR])</f>
        <v>1.96</v>
      </c>
      <c r="D39" s="3">
        <f t="shared" si="2"/>
        <v>2021</v>
      </c>
      <c r="E39" s="6">
        <f t="shared" si="3"/>
        <v>10826.8077204</v>
      </c>
      <c r="F39" s="15">
        <f>_xlfn.XLOOKUP(D39,tbl_ownership[Fiscal_Year],tbl_ownership[Ownership_%])</f>
        <v>0.28999999999999998</v>
      </c>
      <c r="G39" s="6">
        <f t="shared" si="4"/>
        <v>3139.7742389159998</v>
      </c>
      <c r="H39" s="3">
        <f>_xlfn.XLOOKUP(D39,tbl_netdebt[Fiscal_Year],tbl_netdebt[Net_debt_USD_B],0)</f>
        <v>-3.9</v>
      </c>
      <c r="I39" s="3">
        <f>_xlfn.XLOOKUP(A39,tbl_fx_rates_data[Date],tbl_fx_rates_data[USD_ZAR])</f>
        <v>15.16</v>
      </c>
      <c r="J39" s="6">
        <f t="shared" si="5"/>
        <v>-59.124000000000002</v>
      </c>
      <c r="K39" s="6">
        <f t="shared" si="6"/>
        <v>3198.8982389159996</v>
      </c>
      <c r="L39" s="6">
        <f>_xlfn.XLOOKUP(Table6[[#This Row],[Date]],tbl_naspers_price_data[Date],tbl_naspers_price_data[Market Cap (ZAR B)])</f>
        <v>1488.3486</v>
      </c>
      <c r="M39" s="19">
        <f t="shared" si="7"/>
        <v>0.53473087018099341</v>
      </c>
      <c r="N39" s="6">
        <f t="shared" si="8"/>
        <v>1710.5496389159996</v>
      </c>
    </row>
    <row r="40" spans="1:14">
      <c r="A40" s="5">
        <f>tbl_price_history!A40</f>
        <v>44255</v>
      </c>
      <c r="B40" s="15">
        <f>_xlfn.XLOOKUP(A40,tbl_tencent_market_data[Date],tbl_tencent_market_data[Market Cap (HKD B)])</f>
        <v>5369.8677299999999</v>
      </c>
      <c r="C40" s="1">
        <f>_xlfn.XLOOKUP(A40,tbl_fx_rates_data[Date],tbl_fx_rates_data[HKD_ZAR])</f>
        <v>1.95</v>
      </c>
      <c r="D40" s="3">
        <f t="shared" si="2"/>
        <v>2021</v>
      </c>
      <c r="E40" s="6">
        <f t="shared" si="3"/>
        <v>10471.2420735</v>
      </c>
      <c r="F40" s="15">
        <f>_xlfn.XLOOKUP(D40,tbl_ownership[Fiscal_Year],tbl_ownership[Ownership_%])</f>
        <v>0.28999999999999998</v>
      </c>
      <c r="G40" s="6">
        <f t="shared" si="4"/>
        <v>3036.6602013149995</v>
      </c>
      <c r="H40" s="3">
        <f>_xlfn.XLOOKUP(D40,tbl_netdebt[Fiscal_Year],tbl_netdebt[Net_debt_USD_B],0)</f>
        <v>-3.9</v>
      </c>
      <c r="I40" s="3">
        <f>_xlfn.XLOOKUP(A40,tbl_fx_rates_data[Date],tbl_fx_rates_data[USD_ZAR])</f>
        <v>15.09</v>
      </c>
      <c r="J40" s="6">
        <f t="shared" si="5"/>
        <v>-58.850999999999999</v>
      </c>
      <c r="K40" s="6">
        <f t="shared" si="6"/>
        <v>3095.5112013149997</v>
      </c>
      <c r="L40" s="6">
        <f>_xlfn.XLOOKUP(Table6[[#This Row],[Date]],tbl_naspers_price_data[Date],tbl_naspers_price_data[Market Cap (ZAR B)])</f>
        <v>1505.4472000000001</v>
      </c>
      <c r="M40" s="19">
        <f t="shared" si="7"/>
        <v>0.51366766194854241</v>
      </c>
      <c r="N40" s="6">
        <f t="shared" si="8"/>
        <v>1590.0640013149996</v>
      </c>
    </row>
    <row r="41" spans="1:14">
      <c r="A41" s="5">
        <f>tbl_price_history!A41</f>
        <v>44286</v>
      </c>
      <c r="B41" s="15">
        <f>_xlfn.XLOOKUP(A41,tbl_tencent_market_data[Date],tbl_tencent_market_data[Market Cap (HKD B)])</f>
        <v>4944.3320700000004</v>
      </c>
      <c r="C41" s="1">
        <f>_xlfn.XLOOKUP(A41,tbl_fx_rates_data[Date],tbl_fx_rates_data[HKD_ZAR])</f>
        <v>1.9</v>
      </c>
      <c r="D41" s="3">
        <f t="shared" si="2"/>
        <v>2021</v>
      </c>
      <c r="E41" s="6">
        <f t="shared" si="3"/>
        <v>9394.2309330000007</v>
      </c>
      <c r="F41" s="15">
        <f>_xlfn.XLOOKUP(D41,tbl_ownership[Fiscal_Year],tbl_ownership[Ownership_%])</f>
        <v>0.28999999999999998</v>
      </c>
      <c r="G41" s="6">
        <f t="shared" si="4"/>
        <v>2724.32697057</v>
      </c>
      <c r="H41" s="3">
        <f>_xlfn.XLOOKUP(D41,tbl_netdebt[Fiscal_Year],tbl_netdebt[Net_debt_USD_B],0)</f>
        <v>-3.9</v>
      </c>
      <c r="I41" s="3">
        <f>_xlfn.XLOOKUP(A41,tbl_fx_rates_data[Date],tbl_fx_rates_data[USD_ZAR])</f>
        <v>14.77</v>
      </c>
      <c r="J41" s="6">
        <f t="shared" si="5"/>
        <v>-57.602999999999994</v>
      </c>
      <c r="K41" s="6">
        <f t="shared" si="6"/>
        <v>2781.92997057</v>
      </c>
      <c r="L41" s="6">
        <f>_xlfn.XLOOKUP(Table6[[#This Row],[Date]],tbl_naspers_price_data[Date],tbl_naspers_price_data[Market Cap (ZAR B)])</f>
        <v>1511.3322000000001</v>
      </c>
      <c r="M41" s="19">
        <f t="shared" si="7"/>
        <v>0.45673247853527477</v>
      </c>
      <c r="N41" s="6">
        <f t="shared" si="8"/>
        <v>1270.59777057</v>
      </c>
    </row>
    <row r="42" spans="1:14">
      <c r="A42" s="5">
        <f>tbl_price_history!A42</f>
        <v>44316</v>
      </c>
      <c r="B42" s="15">
        <f>_xlfn.XLOOKUP(A42,tbl_tencent_market_data[Date],tbl_tencent_market_data[Market Cap (HKD B)])</f>
        <v>5049.7624800000003</v>
      </c>
      <c r="C42" s="1">
        <f>_xlfn.XLOOKUP(A42,tbl_fx_rates_data[Date],tbl_fx_rates_data[HKD_ZAR])</f>
        <v>1.87</v>
      </c>
      <c r="D42" s="3">
        <f t="shared" si="2"/>
        <v>2022</v>
      </c>
      <c r="E42" s="6">
        <f t="shared" si="3"/>
        <v>9443.0558376000008</v>
      </c>
      <c r="F42" s="15">
        <f>_xlfn.XLOOKUP(D42,tbl_ownership[Fiscal_Year],tbl_ownership[Ownership_%])</f>
        <v>0.26</v>
      </c>
      <c r="G42" s="6">
        <f t="shared" si="4"/>
        <v>2455.1945177760003</v>
      </c>
      <c r="H42" s="3">
        <f>_xlfn.XLOOKUP(D42,tbl_netdebt[Fiscal_Year],tbl_netdebt[Net_debt_USD_B],0)</f>
        <v>0.8</v>
      </c>
      <c r="I42" s="3">
        <f>_xlfn.XLOOKUP(A42,tbl_fx_rates_data[Date],tbl_fx_rates_data[USD_ZAR])</f>
        <v>14.49</v>
      </c>
      <c r="J42" s="6">
        <f t="shared" si="5"/>
        <v>11.592000000000001</v>
      </c>
      <c r="K42" s="6">
        <f t="shared" si="6"/>
        <v>2443.6025177760002</v>
      </c>
      <c r="L42" s="6">
        <f>_xlfn.XLOOKUP(Table6[[#This Row],[Date]],tbl_naspers_price_data[Date],tbl_naspers_price_data[Market Cap (ZAR B)])</f>
        <v>961.85694000000012</v>
      </c>
      <c r="M42" s="19">
        <f t="shared" si="7"/>
        <v>0.6063774967479505</v>
      </c>
      <c r="N42" s="6">
        <f t="shared" si="8"/>
        <v>1481.7455777760001</v>
      </c>
    </row>
    <row r="43" spans="1:14">
      <c r="A43" s="5">
        <f>tbl_price_history!A43</f>
        <v>44347</v>
      </c>
      <c r="B43" s="15">
        <f>_xlfn.XLOOKUP(A43,tbl_tencent_market_data[Date],tbl_tencent_market_data[Market Cap (HKD B)])</f>
        <v>5017.3433099999993</v>
      </c>
      <c r="C43" s="1">
        <f>_xlfn.XLOOKUP(A43,tbl_fx_rates_data[Date],tbl_fx_rates_data[HKD_ZAR])</f>
        <v>1.77</v>
      </c>
      <c r="D43" s="3">
        <f t="shared" si="2"/>
        <v>2022</v>
      </c>
      <c r="E43" s="6">
        <f t="shared" si="3"/>
        <v>8880.697658699999</v>
      </c>
      <c r="F43" s="15">
        <f>_xlfn.XLOOKUP(D43,tbl_ownership[Fiscal_Year],tbl_ownership[Ownership_%])</f>
        <v>0.26</v>
      </c>
      <c r="G43" s="6">
        <f t="shared" si="4"/>
        <v>2308.9813912619998</v>
      </c>
      <c r="H43" s="3">
        <f>_xlfn.XLOOKUP(D43,tbl_netdebt[Fiscal_Year],tbl_netdebt[Net_debt_USD_B],0)</f>
        <v>0.8</v>
      </c>
      <c r="I43" s="3">
        <f>_xlfn.XLOOKUP(A43,tbl_fx_rates_data[Date],tbl_fx_rates_data[USD_ZAR])</f>
        <v>13.72</v>
      </c>
      <c r="J43" s="6">
        <f t="shared" si="5"/>
        <v>10.976000000000001</v>
      </c>
      <c r="K43" s="6">
        <f t="shared" si="6"/>
        <v>2298.0053912619996</v>
      </c>
      <c r="L43" s="6">
        <f>_xlfn.XLOOKUP(Table6[[#This Row],[Date]],tbl_naspers_price_data[Date],tbl_naspers_price_data[Market Cap (ZAR B)])</f>
        <v>886.17016999999998</v>
      </c>
      <c r="M43" s="19">
        <f t="shared" si="7"/>
        <v>0.61437419887281453</v>
      </c>
      <c r="N43" s="6">
        <f t="shared" si="8"/>
        <v>1411.8352212619998</v>
      </c>
    </row>
    <row r="44" spans="1:14">
      <c r="A44" s="5">
        <f>tbl_price_history!A44</f>
        <v>44377</v>
      </c>
      <c r="B44" s="15">
        <f>_xlfn.XLOOKUP(A44,tbl_tencent_market_data[Date],tbl_tencent_market_data[Market Cap (HKD B)])</f>
        <v>4747.6376099999989</v>
      </c>
      <c r="C44" s="1">
        <f>_xlfn.XLOOKUP(A44,tbl_fx_rates_data[Date],tbl_fx_rates_data[HKD_ZAR])</f>
        <v>1.84</v>
      </c>
      <c r="D44" s="3">
        <f t="shared" si="2"/>
        <v>2022</v>
      </c>
      <c r="E44" s="6">
        <f t="shared" si="3"/>
        <v>8735.6532023999989</v>
      </c>
      <c r="F44" s="15">
        <f>_xlfn.XLOOKUP(D44,tbl_ownership[Fiscal_Year],tbl_ownership[Ownership_%])</f>
        <v>0.26</v>
      </c>
      <c r="G44" s="6">
        <f t="shared" si="4"/>
        <v>2271.2698326239997</v>
      </c>
      <c r="H44" s="3">
        <f>_xlfn.XLOOKUP(D44,tbl_netdebt[Fiscal_Year],tbl_netdebt[Net_debt_USD_B],0)</f>
        <v>0.8</v>
      </c>
      <c r="I44" s="3">
        <f>_xlfn.XLOOKUP(A44,tbl_fx_rates_data[Date],tbl_fx_rates_data[USD_ZAR])</f>
        <v>14.27</v>
      </c>
      <c r="J44" s="6">
        <f t="shared" si="5"/>
        <v>11.416</v>
      </c>
      <c r="K44" s="6">
        <f t="shared" si="6"/>
        <v>2259.8538326239996</v>
      </c>
      <c r="L44" s="6">
        <f>_xlfn.XLOOKUP(Table6[[#This Row],[Date]],tbl_naspers_price_data[Date],tbl_naspers_price_data[Market Cap (ZAR B)])</f>
        <v>871.13162</v>
      </c>
      <c r="M44" s="19">
        <f t="shared" si="7"/>
        <v>0.61451859964389954</v>
      </c>
      <c r="N44" s="6">
        <f t="shared" si="8"/>
        <v>1388.7222126239994</v>
      </c>
    </row>
    <row r="45" spans="1:14">
      <c r="A45" s="5">
        <f>tbl_price_history!A45</f>
        <v>44408</v>
      </c>
      <c r="B45" s="15">
        <f>_xlfn.XLOOKUP(A45,tbl_tencent_market_data[Date],tbl_tencent_market_data[Market Cap (HKD B)])</f>
        <v>3894.0236099999997</v>
      </c>
      <c r="C45" s="1">
        <f>_xlfn.XLOOKUP(A45,tbl_fx_rates_data[Date],tbl_fx_rates_data[HKD_ZAR])</f>
        <v>1.87</v>
      </c>
      <c r="D45" s="3">
        <f t="shared" si="2"/>
        <v>2022</v>
      </c>
      <c r="E45" s="6">
        <f t="shared" si="3"/>
        <v>7281.8241507000002</v>
      </c>
      <c r="F45" s="15">
        <f>_xlfn.XLOOKUP(D45,tbl_ownership[Fiscal_Year],tbl_ownership[Ownership_%])</f>
        <v>0.26</v>
      </c>
      <c r="G45" s="6">
        <f t="shared" si="4"/>
        <v>1893.2742791820001</v>
      </c>
      <c r="H45" s="3">
        <f>_xlfn.XLOOKUP(D45,tbl_netdebt[Fiscal_Year],tbl_netdebt[Net_debt_USD_B],0)</f>
        <v>0.8</v>
      </c>
      <c r="I45" s="3">
        <f>_xlfn.XLOOKUP(A45,tbl_fx_rates_data[Date],tbl_fx_rates_data[USD_ZAR])</f>
        <v>14.56</v>
      </c>
      <c r="J45" s="6">
        <f t="shared" si="5"/>
        <v>11.648000000000001</v>
      </c>
      <c r="K45" s="6">
        <f t="shared" si="6"/>
        <v>1881.6262791820002</v>
      </c>
      <c r="L45" s="6">
        <f>_xlfn.XLOOKUP(Table6[[#This Row],[Date]],tbl_naspers_price_data[Date],tbl_naspers_price_data[Market Cap (ZAR B)])</f>
        <v>819.94242999999994</v>
      </c>
      <c r="M45" s="19">
        <f t="shared" si="7"/>
        <v>0.56423736260929891</v>
      </c>
      <c r="N45" s="6">
        <f t="shared" si="8"/>
        <v>1061.6838491820004</v>
      </c>
    </row>
    <row r="46" spans="1:14">
      <c r="A46" s="5">
        <f>tbl_price_history!A46</f>
        <v>44439</v>
      </c>
      <c r="B46" s="15">
        <f>_xlfn.XLOOKUP(A46,tbl_tencent_market_data[Date],tbl_tencent_market_data[Market Cap (HKD B)])</f>
        <v>3911.9131799999996</v>
      </c>
      <c r="C46" s="1">
        <f>_xlfn.XLOOKUP(A46,tbl_fx_rates_data[Date],tbl_fx_rates_data[HKD_ZAR])</f>
        <v>1.87</v>
      </c>
      <c r="D46" s="3">
        <f t="shared" si="2"/>
        <v>2022</v>
      </c>
      <c r="E46" s="6">
        <f t="shared" si="3"/>
        <v>7315.2776465999996</v>
      </c>
      <c r="F46" s="15">
        <f>_xlfn.XLOOKUP(D46,tbl_ownership[Fiscal_Year],tbl_ownership[Ownership_%])</f>
        <v>0.26</v>
      </c>
      <c r="G46" s="6">
        <f t="shared" si="4"/>
        <v>1901.9721881159999</v>
      </c>
      <c r="H46" s="3">
        <f>_xlfn.XLOOKUP(D46,tbl_netdebt[Fiscal_Year],tbl_netdebt[Net_debt_USD_B],0)</f>
        <v>0.8</v>
      </c>
      <c r="I46" s="3">
        <f>_xlfn.XLOOKUP(A46,tbl_fx_rates_data[Date],tbl_fx_rates_data[USD_ZAR])</f>
        <v>14.51</v>
      </c>
      <c r="J46" s="6">
        <f t="shared" si="5"/>
        <v>11.608000000000001</v>
      </c>
      <c r="K46" s="6">
        <f t="shared" si="6"/>
        <v>1890.3641881159999</v>
      </c>
      <c r="L46" s="6">
        <f>_xlfn.XLOOKUP(Table6[[#This Row],[Date]],tbl_naspers_price_data[Date],tbl_naspers_price_data[Market Cap (ZAR B)])</f>
        <v>720.57176000000004</v>
      </c>
      <c r="M46" s="19">
        <f t="shared" si="7"/>
        <v>0.61881855119243134</v>
      </c>
      <c r="N46" s="6">
        <f t="shared" si="8"/>
        <v>1169.7924281159999</v>
      </c>
    </row>
    <row r="47" spans="1:14">
      <c r="A47" s="5">
        <f>tbl_price_history!A47</f>
        <v>44469</v>
      </c>
      <c r="B47" s="15">
        <f>_xlfn.XLOOKUP(A47,tbl_tencent_market_data[Date],tbl_tencent_market_data[Market Cap (HKD B)])</f>
        <v>3750.9070499999998</v>
      </c>
      <c r="C47" s="1">
        <f>_xlfn.XLOOKUP(A47,tbl_fx_rates_data[Date],tbl_fx_rates_data[HKD_ZAR])</f>
        <v>1.94</v>
      </c>
      <c r="D47" s="3">
        <f t="shared" si="2"/>
        <v>2022</v>
      </c>
      <c r="E47" s="6">
        <f t="shared" si="3"/>
        <v>7276.7596769999991</v>
      </c>
      <c r="F47" s="15">
        <f>_xlfn.XLOOKUP(D47,tbl_ownership[Fiscal_Year],tbl_ownership[Ownership_%])</f>
        <v>0.26</v>
      </c>
      <c r="G47" s="6">
        <f t="shared" si="4"/>
        <v>1891.9575160199997</v>
      </c>
      <c r="H47" s="3">
        <f>_xlfn.XLOOKUP(D47,tbl_netdebt[Fiscal_Year],tbl_netdebt[Net_debt_USD_B],0)</f>
        <v>0.8</v>
      </c>
      <c r="I47" s="3">
        <f>_xlfn.XLOOKUP(A47,tbl_fx_rates_data[Date],tbl_fx_rates_data[USD_ZAR])</f>
        <v>15.09</v>
      </c>
      <c r="J47" s="6">
        <f t="shared" si="5"/>
        <v>12.072000000000001</v>
      </c>
      <c r="K47" s="6">
        <f t="shared" si="6"/>
        <v>1879.8855160199998</v>
      </c>
      <c r="L47" s="6">
        <f>_xlfn.XLOOKUP(Table6[[#This Row],[Date]],tbl_naspers_price_data[Date],tbl_naspers_price_data[Market Cap (ZAR B)])</f>
        <v>724.23332000000005</v>
      </c>
      <c r="M47" s="19">
        <f t="shared" si="7"/>
        <v>0.61474605031623897</v>
      </c>
      <c r="N47" s="6">
        <f t="shared" si="8"/>
        <v>1155.6521960199998</v>
      </c>
    </row>
    <row r="48" spans="1:14">
      <c r="A48" s="5">
        <f>tbl_price_history!A48</f>
        <v>44500</v>
      </c>
      <c r="B48" s="15">
        <f>_xlfn.XLOOKUP(A48,tbl_tencent_market_data[Date],tbl_tencent_market_data[Market Cap (HKD B)])</f>
        <v>3910.2786000000001</v>
      </c>
      <c r="C48" s="1">
        <f>_xlfn.XLOOKUP(A48,tbl_fx_rates_data[Date],tbl_fx_rates_data[HKD_ZAR])</f>
        <v>1.95</v>
      </c>
      <c r="D48" s="3">
        <f t="shared" si="2"/>
        <v>2022</v>
      </c>
      <c r="E48" s="6">
        <f t="shared" si="3"/>
        <v>7625.0432700000001</v>
      </c>
      <c r="F48" s="15">
        <f>_xlfn.XLOOKUP(D48,tbl_ownership[Fiscal_Year],tbl_ownership[Ownership_%])</f>
        <v>0.26</v>
      </c>
      <c r="G48" s="6">
        <f t="shared" si="4"/>
        <v>1982.5112502000002</v>
      </c>
      <c r="H48" s="3">
        <f>_xlfn.XLOOKUP(D48,tbl_netdebt[Fiscal_Year],tbl_netdebt[Net_debt_USD_B],0)</f>
        <v>0.8</v>
      </c>
      <c r="I48" s="3">
        <f>_xlfn.XLOOKUP(A48,tbl_fx_rates_data[Date],tbl_fx_rates_data[USD_ZAR])</f>
        <v>15.2</v>
      </c>
      <c r="J48" s="6">
        <f t="shared" si="5"/>
        <v>12.16</v>
      </c>
      <c r="K48" s="6">
        <f t="shared" si="6"/>
        <v>1970.3512502000001</v>
      </c>
      <c r="L48" s="6">
        <f>_xlfn.XLOOKUP(Table6[[#This Row],[Date]],tbl_naspers_price_data[Date],tbl_naspers_price_data[Market Cap (ZAR B)])</f>
        <v>752.58135000000016</v>
      </c>
      <c r="M48" s="19">
        <f t="shared" si="7"/>
        <v>0.61804711219707165</v>
      </c>
      <c r="N48" s="6">
        <f t="shared" si="8"/>
        <v>1217.7699001999999</v>
      </c>
    </row>
    <row r="49" spans="1:14">
      <c r="A49" s="5">
        <f>tbl_price_history!A49</f>
        <v>44530</v>
      </c>
      <c r="B49" s="15">
        <f>_xlfn.XLOOKUP(A49,tbl_tencent_market_data[Date],tbl_tencent_market_data[Market Cap (HKD B)])</f>
        <v>3734.6520599999999</v>
      </c>
      <c r="C49" s="1">
        <f>_xlfn.XLOOKUP(A49,tbl_fx_rates_data[Date],tbl_fx_rates_data[HKD_ZAR])</f>
        <v>2.04</v>
      </c>
      <c r="D49" s="3">
        <f t="shared" si="2"/>
        <v>2022</v>
      </c>
      <c r="E49" s="6">
        <f t="shared" si="3"/>
        <v>7618.6902024000001</v>
      </c>
      <c r="F49" s="15">
        <f>_xlfn.XLOOKUP(D49,tbl_ownership[Fiscal_Year],tbl_ownership[Ownership_%])</f>
        <v>0.26</v>
      </c>
      <c r="G49" s="6">
        <f t="shared" si="4"/>
        <v>1980.8594526240001</v>
      </c>
      <c r="H49" s="3">
        <f>_xlfn.XLOOKUP(D49,tbl_netdebt[Fiscal_Year],tbl_netdebt[Net_debt_USD_B],0)</f>
        <v>0.8</v>
      </c>
      <c r="I49" s="3">
        <f>_xlfn.XLOOKUP(A49,tbl_fx_rates_data[Date],tbl_fx_rates_data[USD_ZAR])</f>
        <v>15.87</v>
      </c>
      <c r="J49" s="6">
        <f t="shared" si="5"/>
        <v>12.696</v>
      </c>
      <c r="K49" s="6">
        <f t="shared" si="6"/>
        <v>1968.1634526240002</v>
      </c>
      <c r="L49" s="6">
        <f>_xlfn.XLOOKUP(Table6[[#This Row],[Date]],tbl_naspers_price_data[Date],tbl_naspers_price_data[Market Cap (ZAR B)])</f>
        <v>714.25121000000001</v>
      </c>
      <c r="M49" s="19">
        <f t="shared" si="7"/>
        <v>0.63709761552184907</v>
      </c>
      <c r="N49" s="6">
        <f t="shared" si="8"/>
        <v>1253.9122426240001</v>
      </c>
    </row>
    <row r="50" spans="1:14">
      <c r="A50" s="5">
        <f>tbl_price_history!A50</f>
        <v>44561</v>
      </c>
      <c r="B50" s="15">
        <f>_xlfn.XLOOKUP(A50,tbl_tencent_market_data[Date],tbl_tencent_market_data[Market Cap (HKD B)])</f>
        <v>3713.5841399999999</v>
      </c>
      <c r="C50" s="1">
        <f>_xlfn.XLOOKUP(A50,tbl_fx_rates_data[Date],tbl_fx_rates_data[HKD_ZAR])</f>
        <v>2.0499999999999998</v>
      </c>
      <c r="D50" s="3">
        <f t="shared" si="2"/>
        <v>2022</v>
      </c>
      <c r="E50" s="6">
        <f t="shared" si="3"/>
        <v>7612.8474869999991</v>
      </c>
      <c r="F50" s="15">
        <f>_xlfn.XLOOKUP(D50,tbl_ownership[Fiscal_Year],tbl_ownership[Ownership_%])</f>
        <v>0.26</v>
      </c>
      <c r="G50" s="6">
        <f t="shared" si="4"/>
        <v>1979.3403466199998</v>
      </c>
      <c r="H50" s="3">
        <f>_xlfn.XLOOKUP(D50,tbl_netdebt[Fiscal_Year],tbl_netdebt[Net_debt_USD_B],0)</f>
        <v>0.8</v>
      </c>
      <c r="I50" s="3">
        <f>_xlfn.XLOOKUP(A50,tbl_fx_rates_data[Date],tbl_fx_rates_data[USD_ZAR])</f>
        <v>15.99</v>
      </c>
      <c r="J50" s="6">
        <f t="shared" si="5"/>
        <v>12.792000000000002</v>
      </c>
      <c r="K50" s="6">
        <f t="shared" si="6"/>
        <v>1966.5483466199998</v>
      </c>
      <c r="L50" s="6">
        <f>_xlfn.XLOOKUP(Table6[[#This Row],[Date]],tbl_naspers_price_data[Date],tbl_naspers_price_data[Market Cap (ZAR B)])</f>
        <v>718.24696000000006</v>
      </c>
      <c r="M50" s="19">
        <f t="shared" si="7"/>
        <v>0.63476770798211735</v>
      </c>
      <c r="N50" s="6">
        <f t="shared" si="8"/>
        <v>1248.3013866199999</v>
      </c>
    </row>
    <row r="51" spans="1:14">
      <c r="A51" s="5">
        <f>tbl_price_history!A51</f>
        <v>44592</v>
      </c>
      <c r="B51" s="15">
        <f>_xlfn.XLOOKUP(A51,tbl_tencent_market_data[Date],tbl_tencent_market_data[Market Cap (HKD B)])</f>
        <v>3946.6026000000002</v>
      </c>
      <c r="C51" s="1">
        <f>_xlfn.XLOOKUP(A51,tbl_fx_rates_data[Date],tbl_fx_rates_data[HKD_ZAR])</f>
        <v>1.97</v>
      </c>
      <c r="D51" s="3">
        <f t="shared" si="2"/>
        <v>2022</v>
      </c>
      <c r="E51" s="6">
        <f t="shared" si="3"/>
        <v>7774.8071220000002</v>
      </c>
      <c r="F51" s="15">
        <f>_xlfn.XLOOKUP(D51,tbl_ownership[Fiscal_Year],tbl_ownership[Ownership_%])</f>
        <v>0.26</v>
      </c>
      <c r="G51" s="6">
        <f t="shared" si="4"/>
        <v>2021.4498517200002</v>
      </c>
      <c r="H51" s="3">
        <f>_xlfn.XLOOKUP(D51,tbl_netdebt[Fiscal_Year],tbl_netdebt[Net_debt_USD_B],0)</f>
        <v>0.8</v>
      </c>
      <c r="I51" s="3">
        <f>_xlfn.XLOOKUP(A51,tbl_fx_rates_data[Date],tbl_fx_rates_data[USD_ZAR])</f>
        <v>15.38</v>
      </c>
      <c r="J51" s="6">
        <f t="shared" si="5"/>
        <v>12.304000000000002</v>
      </c>
      <c r="K51" s="6">
        <f t="shared" si="6"/>
        <v>2009.1458517200001</v>
      </c>
      <c r="L51" s="6">
        <f>_xlfn.XLOOKUP(Table6[[#This Row],[Date]],tbl_naspers_price_data[Date],tbl_naspers_price_data[Market Cap (ZAR B)])</f>
        <v>715.3845500000001</v>
      </c>
      <c r="M51" s="19">
        <f t="shared" si="7"/>
        <v>0.6439359793677647</v>
      </c>
      <c r="N51" s="6">
        <f t="shared" si="8"/>
        <v>1293.7613017200001</v>
      </c>
    </row>
    <row r="52" spans="1:14">
      <c r="A52" s="5">
        <f>tbl_price_history!A52</f>
        <v>44620</v>
      </c>
      <c r="B52" s="15">
        <f>_xlfn.XLOOKUP(A52,tbl_tencent_market_data[Date],tbl_tencent_market_data[Market Cap (HKD B)])</f>
        <v>3527.7868800000001</v>
      </c>
      <c r="C52" s="1">
        <f>_xlfn.XLOOKUP(A52,tbl_fx_rates_data[Date],tbl_fx_rates_data[HKD_ZAR])</f>
        <v>1.97</v>
      </c>
      <c r="D52" s="3">
        <f t="shared" si="2"/>
        <v>2022</v>
      </c>
      <c r="E52" s="6">
        <f t="shared" si="3"/>
        <v>6949.7401535999998</v>
      </c>
      <c r="F52" s="15">
        <f>_xlfn.XLOOKUP(D52,tbl_ownership[Fiscal_Year],tbl_ownership[Ownership_%])</f>
        <v>0.26</v>
      </c>
      <c r="G52" s="6">
        <f t="shared" si="4"/>
        <v>1806.932439936</v>
      </c>
      <c r="H52" s="3">
        <f>_xlfn.XLOOKUP(D52,tbl_netdebt[Fiscal_Year],tbl_netdebt[Net_debt_USD_B],0)</f>
        <v>0.8</v>
      </c>
      <c r="I52" s="3">
        <f>_xlfn.XLOOKUP(A52,tbl_fx_rates_data[Date],tbl_fx_rates_data[USD_ZAR])</f>
        <v>15.36</v>
      </c>
      <c r="J52" s="6">
        <f t="shared" si="5"/>
        <v>12.288</v>
      </c>
      <c r="K52" s="6">
        <f t="shared" si="6"/>
        <v>1794.644439936</v>
      </c>
      <c r="L52" s="6">
        <f>_xlfn.XLOOKUP(Table6[[#This Row],[Date]],tbl_naspers_price_data[Date],tbl_naspers_price_data[Market Cap (ZAR B)])</f>
        <v>560.33492000000001</v>
      </c>
      <c r="M52" s="19">
        <f t="shared" si="7"/>
        <v>0.68777385228464394</v>
      </c>
      <c r="N52" s="6">
        <f t="shared" si="8"/>
        <v>1234.309519936</v>
      </c>
    </row>
    <row r="53" spans="1:14">
      <c r="A53" s="5">
        <f>tbl_price_history!A53</f>
        <v>44651</v>
      </c>
      <c r="B53" s="15">
        <f>_xlfn.XLOOKUP(A53,tbl_tencent_market_data[Date],tbl_tencent_market_data[Market Cap (HKD B)])</f>
        <v>3134.2163399999995</v>
      </c>
      <c r="C53" s="1">
        <f>_xlfn.XLOOKUP(A53,tbl_fx_rates_data[Date],tbl_fx_rates_data[HKD_ZAR])</f>
        <v>1.87</v>
      </c>
      <c r="D53" s="3">
        <f t="shared" si="2"/>
        <v>2022</v>
      </c>
      <c r="E53" s="6">
        <f t="shared" si="3"/>
        <v>5860.9845557999997</v>
      </c>
      <c r="F53" s="15">
        <f>_xlfn.XLOOKUP(D53,tbl_ownership[Fiscal_Year],tbl_ownership[Ownership_%])</f>
        <v>0.26</v>
      </c>
      <c r="G53" s="6">
        <f t="shared" si="4"/>
        <v>1523.8559845079999</v>
      </c>
      <c r="H53" s="3">
        <f>_xlfn.XLOOKUP(D53,tbl_netdebt[Fiscal_Year],tbl_netdebt[Net_debt_USD_B],0)</f>
        <v>0.8</v>
      </c>
      <c r="I53" s="3">
        <f>_xlfn.XLOOKUP(A53,tbl_fx_rates_data[Date],tbl_fx_rates_data[USD_ZAR])</f>
        <v>14.6</v>
      </c>
      <c r="J53" s="6">
        <f t="shared" si="5"/>
        <v>11.68</v>
      </c>
      <c r="K53" s="6">
        <f t="shared" si="6"/>
        <v>1512.1759845079998</v>
      </c>
      <c r="L53" s="6">
        <f>_xlfn.XLOOKUP(Table6[[#This Row],[Date]],tbl_naspers_price_data[Date],tbl_naspers_price_data[Market Cap (ZAR B)])</f>
        <v>483.52933999999999</v>
      </c>
      <c r="M53" s="19">
        <f t="shared" si="7"/>
        <v>0.68024268011548883</v>
      </c>
      <c r="N53" s="6">
        <f t="shared" si="8"/>
        <v>1028.6466445079998</v>
      </c>
    </row>
    <row r="54" spans="1:14">
      <c r="A54" s="5">
        <f>tbl_price_history!A54</f>
        <v>44681</v>
      </c>
      <c r="B54" s="15">
        <f>_xlfn.XLOOKUP(A54,tbl_tencent_market_data[Date],tbl_tencent_market_data[Market Cap (HKD B)])</f>
        <v>3161.0052899999996</v>
      </c>
      <c r="C54" s="1">
        <f>_xlfn.XLOOKUP(A54,tbl_fx_rates_data[Date],tbl_fx_rates_data[HKD_ZAR])</f>
        <v>2.0099999999999998</v>
      </c>
      <c r="D54" s="3">
        <f t="shared" si="2"/>
        <v>2023</v>
      </c>
      <c r="E54" s="6">
        <f t="shared" si="3"/>
        <v>6353.6206328999988</v>
      </c>
      <c r="F54" s="15">
        <f>_xlfn.XLOOKUP(D54,tbl_ownership[Fiscal_Year],tbl_ownership[Ownership_%])</f>
        <v>0.26</v>
      </c>
      <c r="G54" s="6">
        <f t="shared" si="4"/>
        <v>1651.9413645539998</v>
      </c>
      <c r="H54" s="3">
        <f>_xlfn.XLOOKUP(D54,tbl_netdebt[Fiscal_Year],tbl_netdebt[Net_debt_USD_B],0)</f>
        <v>0.4</v>
      </c>
      <c r="I54" s="3">
        <f>_xlfn.XLOOKUP(A54,tbl_fx_rates_data[Date],tbl_fx_rates_data[USD_ZAR])</f>
        <v>15.81</v>
      </c>
      <c r="J54" s="6">
        <f t="shared" si="5"/>
        <v>6.3240000000000007</v>
      </c>
      <c r="K54" s="6">
        <f t="shared" si="6"/>
        <v>1645.6173645539998</v>
      </c>
      <c r="L54" s="6">
        <f>_xlfn.XLOOKUP(Table6[[#This Row],[Date]],tbl_naspers_price_data[Date],tbl_naspers_price_data[Market Cap (ZAR B)])</f>
        <v>335.01342</v>
      </c>
      <c r="M54" s="19">
        <f t="shared" si="7"/>
        <v>0.79642082830670891</v>
      </c>
      <c r="N54" s="6">
        <f t="shared" si="8"/>
        <v>1310.6039445539998</v>
      </c>
    </row>
    <row r="55" spans="1:14">
      <c r="A55" s="5">
        <f>tbl_price_history!A55</f>
        <v>44712</v>
      </c>
      <c r="B55" s="15">
        <f>_xlfn.XLOOKUP(A55,tbl_tencent_market_data[Date],tbl_tencent_market_data[Market Cap (HKD B)])</f>
        <v>3035.3242499999997</v>
      </c>
      <c r="C55" s="1">
        <f>_xlfn.XLOOKUP(A55,tbl_fx_rates_data[Date],tbl_fx_rates_data[HKD_ZAR])</f>
        <v>1.99</v>
      </c>
      <c r="D55" s="3">
        <f t="shared" si="2"/>
        <v>2023</v>
      </c>
      <c r="E55" s="6">
        <f t="shared" si="3"/>
        <v>6040.295257499999</v>
      </c>
      <c r="F55" s="15">
        <f>_xlfn.XLOOKUP(D55,tbl_ownership[Fiscal_Year],tbl_ownership[Ownership_%])</f>
        <v>0.26</v>
      </c>
      <c r="G55" s="6">
        <f t="shared" si="4"/>
        <v>1570.4767669499997</v>
      </c>
      <c r="H55" s="3">
        <f>_xlfn.XLOOKUP(D55,tbl_netdebt[Fiscal_Year],tbl_netdebt[Net_debt_USD_B],0)</f>
        <v>0.4</v>
      </c>
      <c r="I55" s="3">
        <f>_xlfn.XLOOKUP(A55,tbl_fx_rates_data[Date],tbl_fx_rates_data[USD_ZAR])</f>
        <v>15.63</v>
      </c>
      <c r="J55" s="6">
        <f t="shared" si="5"/>
        <v>6.2520000000000007</v>
      </c>
      <c r="K55" s="6">
        <f t="shared" si="6"/>
        <v>1564.2247669499998</v>
      </c>
      <c r="L55" s="6">
        <f>_xlfn.XLOOKUP(Table6[[#This Row],[Date]],tbl_naspers_price_data[Date],tbl_naspers_price_data[Market Cap (ZAR B)])</f>
        <v>357.23928000000001</v>
      </c>
      <c r="M55" s="19">
        <f t="shared" si="7"/>
        <v>0.77161895940532754</v>
      </c>
      <c r="N55" s="6">
        <f t="shared" si="8"/>
        <v>1206.9854869499998</v>
      </c>
    </row>
    <row r="56" spans="1:14">
      <c r="A56" s="5">
        <f>tbl_price_history!A56</f>
        <v>44742</v>
      </c>
      <c r="B56" s="15">
        <f>_xlfn.XLOOKUP(A56,tbl_tencent_market_data[Date],tbl_tencent_market_data[Market Cap (HKD B)])</f>
        <v>2983.0176900000001</v>
      </c>
      <c r="C56" s="1">
        <f>_xlfn.XLOOKUP(A56,tbl_fx_rates_data[Date],tbl_fx_rates_data[HKD_ZAR])</f>
        <v>2.0699999999999998</v>
      </c>
      <c r="D56" s="3">
        <f t="shared" si="2"/>
        <v>2023</v>
      </c>
      <c r="E56" s="6">
        <f t="shared" si="3"/>
        <v>6174.8466183</v>
      </c>
      <c r="F56" s="15">
        <f>_xlfn.XLOOKUP(D56,tbl_ownership[Fiscal_Year],tbl_ownership[Ownership_%])</f>
        <v>0.26</v>
      </c>
      <c r="G56" s="6">
        <f t="shared" si="4"/>
        <v>1605.4601207580001</v>
      </c>
      <c r="H56" s="3">
        <f>_xlfn.XLOOKUP(D56,tbl_netdebt[Fiscal_Year],tbl_netdebt[Net_debt_USD_B],0)</f>
        <v>0.4</v>
      </c>
      <c r="I56" s="3">
        <f>_xlfn.XLOOKUP(A56,tbl_fx_rates_data[Date],tbl_fx_rates_data[USD_ZAR])</f>
        <v>16.27</v>
      </c>
      <c r="J56" s="6">
        <f t="shared" si="5"/>
        <v>6.508</v>
      </c>
      <c r="K56" s="6">
        <f t="shared" si="6"/>
        <v>1598.9521207580001</v>
      </c>
      <c r="L56" s="6">
        <f>_xlfn.XLOOKUP(Table6[[#This Row],[Date]],tbl_naspers_price_data[Date],tbl_naspers_price_data[Market Cap (ZAR B)])</f>
        <v>493.36616000000004</v>
      </c>
      <c r="M56" s="19">
        <f t="shared" si="7"/>
        <v>0.69144406915316847</v>
      </c>
      <c r="N56" s="6">
        <f t="shared" si="8"/>
        <v>1105.5859607580001</v>
      </c>
    </row>
    <row r="57" spans="1:14">
      <c r="A57" s="5">
        <f>tbl_price_history!A57</f>
        <v>44773</v>
      </c>
      <c r="B57" s="15">
        <f>_xlfn.XLOOKUP(A57,tbl_tencent_market_data[Date],tbl_tencent_market_data[Market Cap (HKD B)])</f>
        <v>2582.3639699999999</v>
      </c>
      <c r="C57" s="1">
        <f>_xlfn.XLOOKUP(A57,tbl_fx_rates_data[Date],tbl_fx_rates_data[HKD_ZAR])</f>
        <v>2.12</v>
      </c>
      <c r="D57" s="3">
        <f t="shared" si="2"/>
        <v>2023</v>
      </c>
      <c r="E57" s="6">
        <f t="shared" si="3"/>
        <v>5474.6116164000005</v>
      </c>
      <c r="F57" s="15">
        <f>_xlfn.XLOOKUP(D57,tbl_ownership[Fiscal_Year],tbl_ownership[Ownership_%])</f>
        <v>0.26</v>
      </c>
      <c r="G57" s="6">
        <f t="shared" si="4"/>
        <v>1423.3990202640002</v>
      </c>
      <c r="H57" s="3">
        <f>_xlfn.XLOOKUP(D57,tbl_netdebt[Fiscal_Year],tbl_netdebt[Net_debt_USD_B],0)</f>
        <v>0.4</v>
      </c>
      <c r="I57" s="3">
        <f>_xlfn.XLOOKUP(A57,tbl_fx_rates_data[Date],tbl_fx_rates_data[USD_ZAR])</f>
        <v>16.64</v>
      </c>
      <c r="J57" s="6">
        <f t="shared" si="5"/>
        <v>6.6560000000000006</v>
      </c>
      <c r="K57" s="6">
        <f t="shared" si="6"/>
        <v>1416.7430202640003</v>
      </c>
      <c r="L57" s="6">
        <f>_xlfn.XLOOKUP(Table6[[#This Row],[Date]],tbl_naspers_price_data[Date],tbl_naspers_price_data[Market Cap (ZAR B)])</f>
        <v>491.01124000000004</v>
      </c>
      <c r="M57" s="19">
        <f t="shared" si="7"/>
        <v>0.65342250995631979</v>
      </c>
      <c r="N57" s="6">
        <f t="shared" si="8"/>
        <v>925.73178026400024</v>
      </c>
    </row>
    <row r="58" spans="1:14">
      <c r="A58" s="5">
        <f>tbl_price_history!A58</f>
        <v>44804</v>
      </c>
      <c r="B58" s="15">
        <f>_xlfn.XLOOKUP(A58,tbl_tencent_market_data[Date],tbl_tencent_market_data[Market Cap (HKD B)])</f>
        <v>2754.0856799999997</v>
      </c>
      <c r="C58" s="1">
        <f>_xlfn.XLOOKUP(A58,tbl_fx_rates_data[Date],tbl_fx_rates_data[HKD_ZAR])</f>
        <v>2.1800000000000002</v>
      </c>
      <c r="D58" s="3">
        <f t="shared" si="2"/>
        <v>2023</v>
      </c>
      <c r="E58" s="6">
        <f t="shared" si="3"/>
        <v>6003.9067823999994</v>
      </c>
      <c r="F58" s="15">
        <f>_xlfn.XLOOKUP(D58,tbl_ownership[Fiscal_Year],tbl_ownership[Ownership_%])</f>
        <v>0.26</v>
      </c>
      <c r="G58" s="6">
        <f t="shared" si="4"/>
        <v>1561.0157634239999</v>
      </c>
      <c r="H58" s="3">
        <f>_xlfn.XLOOKUP(D58,tbl_netdebt[Fiscal_Year],tbl_netdebt[Net_debt_USD_B],0)</f>
        <v>0.4</v>
      </c>
      <c r="I58" s="3">
        <f>_xlfn.XLOOKUP(A58,tbl_fx_rates_data[Date],tbl_fx_rates_data[USD_ZAR])</f>
        <v>17.11</v>
      </c>
      <c r="J58" s="6">
        <f t="shared" si="5"/>
        <v>6.8440000000000003</v>
      </c>
      <c r="K58" s="6">
        <f t="shared" si="6"/>
        <v>1554.1717634239999</v>
      </c>
      <c r="L58" s="6">
        <f>_xlfn.XLOOKUP(Table6[[#This Row],[Date]],tbl_naspers_price_data[Date],tbl_naspers_price_data[Market Cap (ZAR B)])</f>
        <v>505.46377999999999</v>
      </c>
      <c r="M58" s="19">
        <f t="shared" si="7"/>
        <v>0.67476967996998516</v>
      </c>
      <c r="N58" s="6">
        <f t="shared" si="8"/>
        <v>1048.7079834239998</v>
      </c>
    </row>
    <row r="59" spans="1:14">
      <c r="A59" s="5">
        <f>tbl_price_history!A59</f>
        <v>44834</v>
      </c>
      <c r="B59" s="15">
        <f>_xlfn.XLOOKUP(A59,tbl_tencent_market_data[Date],tbl_tencent_market_data[Market Cap (HKD B)])</f>
        <v>2242.3713299999999</v>
      </c>
      <c r="C59" s="1">
        <f>_xlfn.XLOOKUP(A59,tbl_fx_rates_data[Date],tbl_fx_rates_data[HKD_ZAR])</f>
        <v>2.31</v>
      </c>
      <c r="D59" s="3">
        <f t="shared" si="2"/>
        <v>2023</v>
      </c>
      <c r="E59" s="6">
        <f t="shared" si="3"/>
        <v>5179.8777723000003</v>
      </c>
      <c r="F59" s="15">
        <f>_xlfn.XLOOKUP(D59,tbl_ownership[Fiscal_Year],tbl_ownership[Ownership_%])</f>
        <v>0.26</v>
      </c>
      <c r="G59" s="6">
        <f t="shared" si="4"/>
        <v>1346.7682207980001</v>
      </c>
      <c r="H59" s="3">
        <f>_xlfn.XLOOKUP(D59,tbl_netdebt[Fiscal_Year],tbl_netdebt[Net_debt_USD_B],0)</f>
        <v>0.4</v>
      </c>
      <c r="I59" s="3">
        <f>_xlfn.XLOOKUP(A59,tbl_fx_rates_data[Date],tbl_fx_rates_data[USD_ZAR])</f>
        <v>18.149999999999999</v>
      </c>
      <c r="J59" s="6">
        <f t="shared" si="5"/>
        <v>7.26</v>
      </c>
      <c r="K59" s="6">
        <f t="shared" si="6"/>
        <v>1339.5082207980001</v>
      </c>
      <c r="L59" s="6">
        <f>_xlfn.XLOOKUP(Table6[[#This Row],[Date]],tbl_naspers_price_data[Date],tbl_naspers_price_data[Market Cap (ZAR B)])</f>
        <v>471.60920000000004</v>
      </c>
      <c r="M59" s="19">
        <f t="shared" si="7"/>
        <v>0.64792362400057302</v>
      </c>
      <c r="N59" s="6">
        <f t="shared" si="8"/>
        <v>867.89902079800004</v>
      </c>
    </row>
    <row r="60" spans="1:14">
      <c r="A60" s="5">
        <f>tbl_price_history!A60</f>
        <v>44865</v>
      </c>
      <c r="B60" s="15">
        <f>_xlfn.XLOOKUP(A60,tbl_tencent_market_data[Date],tbl_tencent_market_data[Market Cap (HKD B)])</f>
        <v>1730.5661699999998</v>
      </c>
      <c r="C60" s="1">
        <f>_xlfn.XLOOKUP(A60,tbl_fx_rates_data[Date],tbl_fx_rates_data[HKD_ZAR])</f>
        <v>2.33</v>
      </c>
      <c r="D60" s="3">
        <f t="shared" si="2"/>
        <v>2023</v>
      </c>
      <c r="E60" s="6">
        <f t="shared" si="3"/>
        <v>4032.2191760999999</v>
      </c>
      <c r="F60" s="15">
        <f>_xlfn.XLOOKUP(D60,tbl_ownership[Fiscal_Year],tbl_ownership[Ownership_%])</f>
        <v>0.26</v>
      </c>
      <c r="G60" s="6">
        <f t="shared" si="4"/>
        <v>1048.376985786</v>
      </c>
      <c r="H60" s="3">
        <f>_xlfn.XLOOKUP(D60,tbl_netdebt[Fiscal_Year],tbl_netdebt[Net_debt_USD_B],0)</f>
        <v>0.4</v>
      </c>
      <c r="I60" s="3">
        <f>_xlfn.XLOOKUP(A60,tbl_fx_rates_data[Date],tbl_fx_rates_data[USD_ZAR])</f>
        <v>17.170000000000002</v>
      </c>
      <c r="J60" s="6">
        <f t="shared" si="5"/>
        <v>6.8680000000000012</v>
      </c>
      <c r="K60" s="6">
        <f t="shared" si="6"/>
        <v>1041.508985786</v>
      </c>
      <c r="L60" s="6">
        <f>_xlfn.XLOOKUP(Table6[[#This Row],[Date]],tbl_naspers_price_data[Date],tbl_naspers_price_data[Market Cap (ZAR B)])</f>
        <v>395.92874000000006</v>
      </c>
      <c r="M60" s="19">
        <f t="shared" si="7"/>
        <v>0.61985086503963016</v>
      </c>
      <c r="N60" s="6">
        <f t="shared" si="8"/>
        <v>645.58024578599998</v>
      </c>
    </row>
    <row r="61" spans="1:14">
      <c r="A61" s="5">
        <f>tbl_price_history!A61</f>
        <v>44895</v>
      </c>
      <c r="B61" s="15">
        <f>_xlfn.XLOOKUP(A61,tbl_tencent_market_data[Date],tbl_tencent_market_data[Market Cap (HKD B)])</f>
        <v>2417.4530099999997</v>
      </c>
      <c r="C61" s="1">
        <f>_xlfn.XLOOKUP(A61,tbl_fx_rates_data[Date],tbl_fx_rates_data[HKD_ZAR])</f>
        <v>2.2000000000000002</v>
      </c>
      <c r="D61" s="3">
        <f t="shared" si="2"/>
        <v>2023</v>
      </c>
      <c r="E61" s="6">
        <f t="shared" si="3"/>
        <v>5318.3966220000002</v>
      </c>
      <c r="F61" s="15">
        <f>_xlfn.XLOOKUP(D61,tbl_ownership[Fiscal_Year],tbl_ownership[Ownership_%])</f>
        <v>0.26</v>
      </c>
      <c r="G61" s="6">
        <f t="shared" si="4"/>
        <v>1382.7831217200001</v>
      </c>
      <c r="H61" s="3">
        <f>_xlfn.XLOOKUP(D61,tbl_netdebt[Fiscal_Year],tbl_netdebt[Net_debt_USD_B],0)</f>
        <v>0.4</v>
      </c>
      <c r="I61" s="3">
        <f>_xlfn.XLOOKUP(A61,tbl_fx_rates_data[Date],tbl_fx_rates_data[USD_ZAR])</f>
        <v>17</v>
      </c>
      <c r="J61" s="6">
        <f t="shared" si="5"/>
        <v>6.8000000000000007</v>
      </c>
      <c r="K61" s="6">
        <f t="shared" si="6"/>
        <v>1375.9831217200001</v>
      </c>
      <c r="L61" s="6">
        <f>_xlfn.XLOOKUP(Table6[[#This Row],[Date]],tbl_naspers_price_data[Date],tbl_naspers_price_data[Market Cap (ZAR B)])</f>
        <v>549.30071999999996</v>
      </c>
      <c r="M61" s="19">
        <f t="shared" si="7"/>
        <v>0.60079399861143234</v>
      </c>
      <c r="N61" s="6">
        <f t="shared" si="8"/>
        <v>826.68240172000014</v>
      </c>
    </row>
    <row r="62" spans="1:14">
      <c r="A62" s="5">
        <f>tbl_price_history!A62</f>
        <v>44926</v>
      </c>
      <c r="B62" s="15">
        <f>_xlfn.XLOOKUP(A62,tbl_tencent_market_data[Date],tbl_tencent_market_data[Market Cap (HKD B)])</f>
        <v>2811.3867899999996</v>
      </c>
      <c r="C62" s="1">
        <f>_xlfn.XLOOKUP(A62,tbl_fx_rates_data[Date],tbl_fx_rates_data[HKD_ZAR])</f>
        <v>2.1800000000000002</v>
      </c>
      <c r="D62" s="3">
        <f t="shared" si="2"/>
        <v>2023</v>
      </c>
      <c r="E62" s="6">
        <f t="shared" si="3"/>
        <v>6128.8232021999993</v>
      </c>
      <c r="F62" s="15">
        <f>_xlfn.XLOOKUP(D62,tbl_ownership[Fiscal_Year],tbl_ownership[Ownership_%])</f>
        <v>0.26</v>
      </c>
      <c r="G62" s="6">
        <f t="shared" si="4"/>
        <v>1593.4940325719999</v>
      </c>
      <c r="H62" s="3">
        <f>_xlfn.XLOOKUP(D62,tbl_netdebt[Fiscal_Year],tbl_netdebt[Net_debt_USD_B],0)</f>
        <v>0.4</v>
      </c>
      <c r="I62" s="3">
        <f>_xlfn.XLOOKUP(A62,tbl_fx_rates_data[Date],tbl_fx_rates_data[USD_ZAR])</f>
        <v>17</v>
      </c>
      <c r="J62" s="6">
        <f t="shared" si="5"/>
        <v>6.8000000000000007</v>
      </c>
      <c r="K62" s="6">
        <f t="shared" si="6"/>
        <v>1586.694032572</v>
      </c>
      <c r="L62" s="6">
        <f>_xlfn.XLOOKUP(Table6[[#This Row],[Date]],tbl_naspers_price_data[Date],tbl_naspers_price_data[Market Cap (ZAR B)])</f>
        <v>588.53201999999999</v>
      </c>
      <c r="M62" s="19">
        <f t="shared" si="7"/>
        <v>0.62908285534672292</v>
      </c>
      <c r="N62" s="6">
        <f t="shared" si="8"/>
        <v>998.16201257199998</v>
      </c>
    </row>
    <row r="63" spans="1:14">
      <c r="A63" s="5">
        <f>tbl_price_history!A63</f>
        <v>44957</v>
      </c>
      <c r="B63" s="15">
        <f>_xlfn.XLOOKUP(A63,tbl_tencent_market_data[Date],tbl_tencent_market_data[Market Cap (HKD B)])</f>
        <v>3387.12219</v>
      </c>
      <c r="C63" s="1">
        <f>_xlfn.XLOOKUP(A63,tbl_fx_rates_data[Date],tbl_fx_rates_data[HKD_ZAR])</f>
        <v>2.2200000000000002</v>
      </c>
      <c r="D63" s="3">
        <f t="shared" si="2"/>
        <v>2023</v>
      </c>
      <c r="E63" s="6">
        <f t="shared" si="3"/>
        <v>7519.4112618000008</v>
      </c>
      <c r="F63" s="15">
        <f>_xlfn.XLOOKUP(D63,tbl_ownership[Fiscal_Year],tbl_ownership[Ownership_%])</f>
        <v>0.26</v>
      </c>
      <c r="G63" s="6">
        <f t="shared" si="4"/>
        <v>1955.0469280680002</v>
      </c>
      <c r="H63" s="3">
        <f>_xlfn.XLOOKUP(D63,tbl_netdebt[Fiscal_Year],tbl_netdebt[Net_debt_USD_B],0)</f>
        <v>0.4</v>
      </c>
      <c r="I63" s="3">
        <f>_xlfn.XLOOKUP(A63,tbl_fx_rates_data[Date],tbl_fx_rates_data[USD_ZAR])</f>
        <v>17.399999999999999</v>
      </c>
      <c r="J63" s="6">
        <f t="shared" si="5"/>
        <v>6.96</v>
      </c>
      <c r="K63" s="6">
        <f t="shared" si="6"/>
        <v>1948.0869280680001</v>
      </c>
      <c r="L63" s="6">
        <f>_xlfn.XLOOKUP(Table6[[#This Row],[Date]],tbl_naspers_price_data[Date],tbl_naspers_price_data[Market Cap (ZAR B)])</f>
        <v>697.34807999999998</v>
      </c>
      <c r="M63" s="19">
        <f t="shared" si="7"/>
        <v>0.64203441337620926</v>
      </c>
      <c r="N63" s="6">
        <f t="shared" si="8"/>
        <v>1250.7388480680002</v>
      </c>
    </row>
    <row r="64" spans="1:14">
      <c r="A64" s="5">
        <f>tbl_price_history!A64</f>
        <v>44985</v>
      </c>
      <c r="B64" s="15">
        <f>_xlfn.XLOOKUP(A64,tbl_tencent_market_data[Date],tbl_tencent_market_data[Market Cap (HKD B)])</f>
        <v>3045.0409199999999</v>
      </c>
      <c r="C64" s="1">
        <f>_xlfn.XLOOKUP(A64,tbl_fx_rates_data[Date],tbl_fx_rates_data[HKD_ZAR])</f>
        <v>2.34</v>
      </c>
      <c r="D64" s="3">
        <f t="shared" si="2"/>
        <v>2023</v>
      </c>
      <c r="E64" s="6">
        <f t="shared" si="3"/>
        <v>7125.3957527999992</v>
      </c>
      <c r="F64" s="15">
        <f>_xlfn.XLOOKUP(D64,tbl_ownership[Fiscal_Year],tbl_ownership[Ownership_%])</f>
        <v>0.26</v>
      </c>
      <c r="G64" s="6">
        <f t="shared" si="4"/>
        <v>1852.6028957279998</v>
      </c>
      <c r="H64" s="3">
        <f>_xlfn.XLOOKUP(D64,tbl_netdebt[Fiscal_Year],tbl_netdebt[Net_debt_USD_B],0)</f>
        <v>0.4</v>
      </c>
      <c r="I64" s="3">
        <f>_xlfn.XLOOKUP(A64,tbl_fx_rates_data[Date],tbl_fx_rates_data[USD_ZAR])</f>
        <v>18.350000000000001</v>
      </c>
      <c r="J64" s="6">
        <f t="shared" si="5"/>
        <v>7.3400000000000007</v>
      </c>
      <c r="K64" s="6">
        <f t="shared" si="6"/>
        <v>1845.2628957279999</v>
      </c>
      <c r="L64" s="6">
        <f>_xlfn.XLOOKUP(Table6[[#This Row],[Date]],tbl_naspers_price_data[Date],tbl_naspers_price_data[Market Cap (ZAR B)])</f>
        <v>678.69628</v>
      </c>
      <c r="M64" s="19">
        <f t="shared" si="7"/>
        <v>0.63219534648896825</v>
      </c>
      <c r="N64" s="6">
        <f t="shared" si="8"/>
        <v>1166.5666157279998</v>
      </c>
    </row>
    <row r="65" spans="1:14">
      <c r="A65" s="5">
        <f>tbl_price_history!A65</f>
        <v>45016</v>
      </c>
      <c r="B65" s="15">
        <f>_xlfn.XLOOKUP(A65,tbl_tencent_market_data[Date],tbl_tencent_market_data[Market Cap (HKD B)])</f>
        <v>3419.0873099999999</v>
      </c>
      <c r="C65" s="1">
        <f>_xlfn.XLOOKUP(A65,tbl_fx_rates_data[Date],tbl_fx_rates_data[HKD_ZAR])</f>
        <v>2.27</v>
      </c>
      <c r="D65" s="3">
        <f t="shared" si="2"/>
        <v>2023</v>
      </c>
      <c r="E65" s="6">
        <f t="shared" si="3"/>
        <v>7761.3281937000002</v>
      </c>
      <c r="F65" s="15">
        <f>_xlfn.XLOOKUP(D65,tbl_ownership[Fiscal_Year],tbl_ownership[Ownership_%])</f>
        <v>0.26</v>
      </c>
      <c r="G65" s="6">
        <f t="shared" si="4"/>
        <v>2017.945330362</v>
      </c>
      <c r="H65" s="3">
        <f>_xlfn.XLOOKUP(D65,tbl_netdebt[Fiscal_Year],tbl_netdebt[Net_debt_USD_B],0)</f>
        <v>0.4</v>
      </c>
      <c r="I65" s="3">
        <f>_xlfn.XLOOKUP(A65,tbl_fx_rates_data[Date],tbl_fx_rates_data[USD_ZAR])</f>
        <v>17.78</v>
      </c>
      <c r="J65" s="6">
        <f t="shared" si="5"/>
        <v>7.112000000000001</v>
      </c>
      <c r="K65" s="6">
        <f t="shared" si="6"/>
        <v>2010.833330362</v>
      </c>
      <c r="L65" s="6">
        <f>_xlfn.XLOOKUP(Table6[[#This Row],[Date]],tbl_naspers_price_data[Date],tbl_naspers_price_data[Market Cap (ZAR B)])</f>
        <v>686.17784000000006</v>
      </c>
      <c r="M65" s="19">
        <f t="shared" si="7"/>
        <v>0.65875946572037825</v>
      </c>
      <c r="N65" s="6">
        <f t="shared" si="8"/>
        <v>1324.6554903619999</v>
      </c>
    </row>
    <row r="66" spans="1:14">
      <c r="A66" s="5">
        <f>tbl_price_history!A66</f>
        <v>45046</v>
      </c>
      <c r="B66" s="15">
        <f>_xlfn.XLOOKUP(A66,tbl_tencent_market_data[Date],tbl_tencent_market_data[Market Cap (HKD B)])</f>
        <v>3052.2149100000001</v>
      </c>
      <c r="C66" s="1">
        <f>_xlfn.XLOOKUP(A66,tbl_fx_rates_data[Date],tbl_fx_rates_data[HKD_ZAR])</f>
        <v>2.33</v>
      </c>
      <c r="D66" s="3">
        <f t="shared" si="2"/>
        <v>2024</v>
      </c>
      <c r="E66" s="6">
        <f t="shared" si="3"/>
        <v>7111.6607403000007</v>
      </c>
      <c r="F66" s="15">
        <f>_xlfn.XLOOKUP(D66,tbl_ownership[Fiscal_Year],tbl_ownership[Ownership_%])</f>
        <v>0.24</v>
      </c>
      <c r="G66" s="6">
        <f t="shared" si="4"/>
        <v>1706.7985776720002</v>
      </c>
      <c r="H66" s="3">
        <f>_xlfn.XLOOKUP(D66,tbl_netdebt[Fiscal_Year],tbl_netdebt[Net_debt_USD_B],0)</f>
        <v>0.7</v>
      </c>
      <c r="I66" s="3">
        <f>_xlfn.XLOOKUP(A66,tbl_fx_rates_data[Date],tbl_fx_rates_data[USD_ZAR])</f>
        <v>18.27</v>
      </c>
      <c r="J66" s="6">
        <f t="shared" si="5"/>
        <v>12.789</v>
      </c>
      <c r="K66" s="6">
        <f t="shared" si="6"/>
        <v>1694.0095776720002</v>
      </c>
      <c r="L66" s="6">
        <f>_xlfn.XLOOKUP(Table6[[#This Row],[Date]],tbl_naspers_price_data[Date],tbl_naspers_price_data[Market Cap (ZAR B)])</f>
        <v>608.47460999999998</v>
      </c>
      <c r="M66" s="19">
        <f t="shared" si="7"/>
        <v>0.64080804617633935</v>
      </c>
      <c r="N66" s="6">
        <f t="shared" si="8"/>
        <v>1085.5349676720002</v>
      </c>
    </row>
    <row r="67" spans="1:14">
      <c r="A67" s="5">
        <f>tbl_price_history!A67</f>
        <v>45077</v>
      </c>
      <c r="B67" s="15">
        <f>_xlfn.XLOOKUP(A67,tbl_tencent_market_data[Date],tbl_tencent_market_data[Market Cap (HKD B)])</f>
        <v>2752.6327200000001</v>
      </c>
      <c r="C67" s="1">
        <f>_xlfn.XLOOKUP(A67,tbl_fx_rates_data[Date],tbl_fx_rates_data[HKD_ZAR])</f>
        <v>2.52</v>
      </c>
      <c r="D67" s="3">
        <f t="shared" si="2"/>
        <v>2024</v>
      </c>
      <c r="E67" s="6">
        <f t="shared" si="3"/>
        <v>6936.6344544000003</v>
      </c>
      <c r="F67" s="15">
        <f>_xlfn.XLOOKUP(D67,tbl_ownership[Fiscal_Year],tbl_ownership[Ownership_%])</f>
        <v>0.24</v>
      </c>
      <c r="G67" s="6">
        <f t="shared" si="4"/>
        <v>1664.7922690560001</v>
      </c>
      <c r="H67" s="3">
        <f>_xlfn.XLOOKUP(D67,tbl_netdebt[Fiscal_Year],tbl_netdebt[Net_debt_USD_B],0)</f>
        <v>0.7</v>
      </c>
      <c r="I67" s="3">
        <f>_xlfn.XLOOKUP(A67,tbl_fx_rates_data[Date],tbl_fx_rates_data[USD_ZAR])</f>
        <v>19.72</v>
      </c>
      <c r="J67" s="6">
        <f t="shared" si="5"/>
        <v>13.803999999999998</v>
      </c>
      <c r="K67" s="6">
        <f t="shared" si="6"/>
        <v>1650.988269056</v>
      </c>
      <c r="L67" s="6">
        <f>_xlfn.XLOOKUP(Table6[[#This Row],[Date]],tbl_naspers_price_data[Date],tbl_naspers_price_data[Market Cap (ZAR B)])</f>
        <v>555.42422999999997</v>
      </c>
      <c r="M67" s="19">
        <f t="shared" si="7"/>
        <v>0.66358075317059662</v>
      </c>
      <c r="N67" s="6">
        <f t="shared" si="8"/>
        <v>1095.5640390560002</v>
      </c>
    </row>
    <row r="68" spans="1:14">
      <c r="A68" s="5">
        <f>tbl_price_history!A68</f>
        <v>45107</v>
      </c>
      <c r="B68" s="15">
        <f>_xlfn.XLOOKUP(A68,tbl_tencent_market_data[Date],tbl_tencent_market_data[Market Cap (HKD B)])</f>
        <v>2959.6795200000001</v>
      </c>
      <c r="C68" s="1">
        <f>_xlfn.XLOOKUP(A68,tbl_fx_rates_data[Date],tbl_fx_rates_data[HKD_ZAR])</f>
        <v>2.4</v>
      </c>
      <c r="D68" s="3">
        <f t="shared" si="2"/>
        <v>2024</v>
      </c>
      <c r="E68" s="6">
        <f t="shared" si="3"/>
        <v>7103.2308480000002</v>
      </c>
      <c r="F68" s="15">
        <f>_xlfn.XLOOKUP(D68,tbl_ownership[Fiscal_Year],tbl_ownership[Ownership_%])</f>
        <v>0.24</v>
      </c>
      <c r="G68" s="6">
        <f t="shared" si="4"/>
        <v>1704.7754035200001</v>
      </c>
      <c r="H68" s="3">
        <f>_xlfn.XLOOKUP(D68,tbl_netdebt[Fiscal_Year],tbl_netdebt[Net_debt_USD_B],0)</f>
        <v>0.7</v>
      </c>
      <c r="I68" s="3">
        <f>_xlfn.XLOOKUP(A68,tbl_fx_rates_data[Date],tbl_fx_rates_data[USD_ZAR])</f>
        <v>18.829999999999998</v>
      </c>
      <c r="J68" s="6">
        <f t="shared" si="5"/>
        <v>13.180999999999997</v>
      </c>
      <c r="K68" s="6">
        <f t="shared" si="6"/>
        <v>1691.59440352</v>
      </c>
      <c r="L68" s="6">
        <f>_xlfn.XLOOKUP(Table6[[#This Row],[Date]],tbl_naspers_price_data[Date],tbl_naspers_price_data[Market Cap (ZAR B)])</f>
        <v>634.1880900000001</v>
      </c>
      <c r="M68" s="19">
        <f t="shared" si="7"/>
        <v>0.62509447378146166</v>
      </c>
      <c r="N68" s="6">
        <f t="shared" si="8"/>
        <v>1057.4063135199999</v>
      </c>
    </row>
    <row r="69" spans="1:14">
      <c r="A69" s="5">
        <f>tbl_price_history!A69</f>
        <v>45138</v>
      </c>
      <c r="B69" s="15">
        <f>_xlfn.XLOOKUP(A69,tbl_tencent_market_data[Date],tbl_tencent_market_data[Market Cap (HKD B)])</f>
        <v>3163.0939199999998</v>
      </c>
      <c r="C69" s="1">
        <f>_xlfn.XLOOKUP(A69,tbl_fx_rates_data[Date],tbl_fx_rates_data[HKD_ZAR])</f>
        <v>2.29</v>
      </c>
      <c r="D69" s="3">
        <f t="shared" si="2"/>
        <v>2024</v>
      </c>
      <c r="E69" s="6">
        <f t="shared" si="3"/>
        <v>7243.4850767999997</v>
      </c>
      <c r="F69" s="15">
        <f>_xlfn.XLOOKUP(D69,tbl_ownership[Fiscal_Year],tbl_ownership[Ownership_%])</f>
        <v>0.24</v>
      </c>
      <c r="G69" s="6">
        <f t="shared" si="4"/>
        <v>1738.4364184319998</v>
      </c>
      <c r="H69" s="3">
        <f>_xlfn.XLOOKUP(D69,tbl_netdebt[Fiscal_Year],tbl_netdebt[Net_debt_USD_B],0)</f>
        <v>0.7</v>
      </c>
      <c r="I69" s="3">
        <f>_xlfn.XLOOKUP(A69,tbl_fx_rates_data[Date],tbl_fx_rates_data[USD_ZAR])</f>
        <v>17.850000000000001</v>
      </c>
      <c r="J69" s="6">
        <f t="shared" si="5"/>
        <v>12.495000000000001</v>
      </c>
      <c r="K69" s="6">
        <f t="shared" si="6"/>
        <v>1725.9414184319999</v>
      </c>
      <c r="L69" s="6">
        <f>_xlfn.XLOOKUP(Table6[[#This Row],[Date]],tbl_naspers_price_data[Date],tbl_naspers_price_data[Market Cap (ZAR B)])</f>
        <v>655.66575</v>
      </c>
      <c r="M69" s="19">
        <f t="shared" si="7"/>
        <v>0.62011123726570883</v>
      </c>
      <c r="N69" s="6">
        <f t="shared" si="8"/>
        <v>1070.2756684319997</v>
      </c>
    </row>
    <row r="70" spans="1:14">
      <c r="A70" s="5">
        <f>tbl_price_history!A70</f>
        <v>45169</v>
      </c>
      <c r="B70" s="15">
        <f>_xlfn.XLOOKUP(A70,tbl_tencent_market_data[Date],tbl_tencent_market_data[Market Cap (HKD B)])</f>
        <v>2900.7438299999999</v>
      </c>
      <c r="C70" s="1">
        <f>_xlfn.XLOOKUP(A70,tbl_fx_rates_data[Date],tbl_fx_rates_data[HKD_ZAR])</f>
        <v>2.41</v>
      </c>
      <c r="D70" s="3">
        <f t="shared" si="2"/>
        <v>2024</v>
      </c>
      <c r="E70" s="6">
        <f t="shared" si="3"/>
        <v>6990.7926303000004</v>
      </c>
      <c r="F70" s="15">
        <f>_xlfn.XLOOKUP(D70,tbl_ownership[Fiscal_Year],tbl_ownership[Ownership_%])</f>
        <v>0.24</v>
      </c>
      <c r="G70" s="6">
        <f t="shared" si="4"/>
        <v>1677.790231272</v>
      </c>
      <c r="H70" s="3">
        <f>_xlfn.XLOOKUP(D70,tbl_netdebt[Fiscal_Year],tbl_netdebt[Net_debt_USD_B],0)</f>
        <v>0.7</v>
      </c>
      <c r="I70" s="3">
        <f>_xlfn.XLOOKUP(A70,tbl_fx_rates_data[Date],tbl_fx_rates_data[USD_ZAR])</f>
        <v>18.87</v>
      </c>
      <c r="J70" s="6">
        <f t="shared" si="5"/>
        <v>13.209</v>
      </c>
      <c r="K70" s="6">
        <f t="shared" si="6"/>
        <v>1664.581231272</v>
      </c>
      <c r="L70" s="6">
        <f>_xlfn.XLOOKUP(Table6[[#This Row],[Date]],tbl_naspers_price_data[Date],tbl_naspers_price_data[Market Cap (ZAR B)])</f>
        <v>600.22689000000003</v>
      </c>
      <c r="M70" s="19">
        <f t="shared" ref="M70:M101" si="9">1-(L70/K70)</f>
        <v>0.63941267706032412</v>
      </c>
      <c r="N70" s="6">
        <f t="shared" ref="N70:N89" si="10">K70-L70</f>
        <v>1064.3543412720001</v>
      </c>
    </row>
    <row r="71" spans="1:14">
      <c r="A71" s="5">
        <f>tbl_price_history!A71</f>
        <v>45199</v>
      </c>
      <c r="B71" s="15">
        <f>_xlfn.XLOOKUP(A71,tbl_tencent_market_data[Date],tbl_tencent_market_data[Market Cap (HKD B)])</f>
        <v>2732.9269499999996</v>
      </c>
      <c r="C71" s="1">
        <f>_xlfn.XLOOKUP(A71,tbl_fx_rates_data[Date],tbl_fx_rates_data[HKD_ZAR])</f>
        <v>2.42</v>
      </c>
      <c r="D71" s="3">
        <f t="shared" ref="D71:D89" si="11">YEAR(EDATE(A71,9))</f>
        <v>2024</v>
      </c>
      <c r="E71" s="6">
        <f t="shared" ref="E71:E89" si="12">B71*C71</f>
        <v>6613.6832189999986</v>
      </c>
      <c r="F71" s="15">
        <f>_xlfn.XLOOKUP(D71,tbl_ownership[Fiscal_Year],tbl_ownership[Ownership_%])</f>
        <v>0.24</v>
      </c>
      <c r="G71" s="6">
        <f t="shared" ref="G71:G89" si="13">E71*F71</f>
        <v>1587.2839725599997</v>
      </c>
      <c r="H71" s="3">
        <f>_xlfn.XLOOKUP(D71,tbl_netdebt[Fiscal_Year],tbl_netdebt[Net_debt_USD_B],0)</f>
        <v>0.7</v>
      </c>
      <c r="I71" s="3">
        <f>_xlfn.XLOOKUP(A71,tbl_fx_rates_data[Date],tbl_fx_rates_data[USD_ZAR])</f>
        <v>18.920000000000002</v>
      </c>
      <c r="J71" s="6">
        <f t="shared" ref="J71:J89" si="14">H71*I71</f>
        <v>13.244</v>
      </c>
      <c r="K71" s="6">
        <f t="shared" ref="K71:K89" si="15">G71-J71</f>
        <v>1574.0399725599998</v>
      </c>
      <c r="L71" s="6">
        <f>_xlfn.XLOOKUP(Table6[[#This Row],[Date]],tbl_naspers_price_data[Date],tbl_naspers_price_data[Market Cap (ZAR B)])</f>
        <v>564.51165000000003</v>
      </c>
      <c r="M71" s="19">
        <f t="shared" si="9"/>
        <v>0.64136129968676392</v>
      </c>
      <c r="N71" s="6">
        <f t="shared" si="10"/>
        <v>1009.5283225599998</v>
      </c>
    </row>
    <row r="72" spans="1:14">
      <c r="A72" s="5">
        <f>tbl_price_history!A72</f>
        <v>45230</v>
      </c>
      <c r="B72" s="15">
        <f>_xlfn.XLOOKUP(A72,tbl_tencent_market_data[Date],tbl_tencent_market_data[Market Cap (HKD B)])</f>
        <v>2581.1834399999998</v>
      </c>
      <c r="C72" s="1">
        <f>_xlfn.XLOOKUP(A72,tbl_fx_rates_data[Date],tbl_fx_rates_data[HKD_ZAR])</f>
        <v>2.38</v>
      </c>
      <c r="D72" s="3">
        <f t="shared" si="11"/>
        <v>2024</v>
      </c>
      <c r="E72" s="6">
        <f t="shared" si="12"/>
        <v>6143.2165871999996</v>
      </c>
      <c r="F72" s="15">
        <f>_xlfn.XLOOKUP(D72,tbl_ownership[Fiscal_Year],tbl_ownership[Ownership_%])</f>
        <v>0.24</v>
      </c>
      <c r="G72" s="6">
        <f t="shared" si="13"/>
        <v>1474.3719809279999</v>
      </c>
      <c r="H72" s="3">
        <f>_xlfn.XLOOKUP(D72,tbl_netdebt[Fiscal_Year],tbl_netdebt[Net_debt_USD_B],0)</f>
        <v>0.7</v>
      </c>
      <c r="I72" s="3">
        <f>_xlfn.XLOOKUP(A72,tbl_fx_rates_data[Date],tbl_fx_rates_data[USD_ZAR])</f>
        <v>18.64</v>
      </c>
      <c r="J72" s="6">
        <f t="shared" si="14"/>
        <v>13.048</v>
      </c>
      <c r="K72" s="6">
        <f t="shared" si="15"/>
        <v>1461.3239809279999</v>
      </c>
      <c r="L72" s="6">
        <f>_xlfn.XLOOKUP(Table6[[#This Row],[Date]],tbl_naspers_price_data[Date],tbl_naspers_price_data[Market Cap (ZAR B)])</f>
        <v>542.82872999999995</v>
      </c>
      <c r="M72" s="19">
        <f t="shared" si="9"/>
        <v>0.62853635669806662</v>
      </c>
      <c r="N72" s="6">
        <f t="shared" si="10"/>
        <v>918.4952509279999</v>
      </c>
    </row>
    <row r="73" spans="1:14">
      <c r="A73" s="5">
        <f>tbl_price_history!A73</f>
        <v>45260</v>
      </c>
      <c r="B73" s="15">
        <f>_xlfn.XLOOKUP(A73,tbl_tencent_market_data[Date],tbl_tencent_market_data[Market Cap (HKD B)])</f>
        <v>2918.5425899999996</v>
      </c>
      <c r="C73" s="1">
        <f>_xlfn.XLOOKUP(A73,tbl_fx_rates_data[Date],tbl_fx_rates_data[HKD_ZAR])</f>
        <v>2.41</v>
      </c>
      <c r="D73" s="3">
        <f t="shared" si="11"/>
        <v>2024</v>
      </c>
      <c r="E73" s="6">
        <f t="shared" si="12"/>
        <v>7033.6876418999991</v>
      </c>
      <c r="F73" s="15">
        <f>_xlfn.XLOOKUP(D73,tbl_ownership[Fiscal_Year],tbl_ownership[Ownership_%])</f>
        <v>0.24</v>
      </c>
      <c r="G73" s="6">
        <f t="shared" si="13"/>
        <v>1688.0850340559998</v>
      </c>
      <c r="H73" s="3">
        <f>_xlfn.XLOOKUP(D73,tbl_netdebt[Fiscal_Year],tbl_netdebt[Net_debt_USD_B],0)</f>
        <v>0.7</v>
      </c>
      <c r="I73" s="3">
        <f>_xlfn.XLOOKUP(A73,tbl_fx_rates_data[Date],tbl_fx_rates_data[USD_ZAR])</f>
        <v>18.850000000000001</v>
      </c>
      <c r="J73" s="6">
        <f t="shared" si="14"/>
        <v>13.195</v>
      </c>
      <c r="K73" s="6">
        <f t="shared" si="15"/>
        <v>1674.8900340559999</v>
      </c>
      <c r="L73" s="6">
        <f>_xlfn.XLOOKUP(Table6[[#This Row],[Date]],tbl_naspers_price_data[Date],tbl_naspers_price_data[Market Cap (ZAR B)])</f>
        <v>648.09911999999997</v>
      </c>
      <c r="M73" s="19">
        <f t="shared" si="9"/>
        <v>0.61304974844794446</v>
      </c>
      <c r="N73" s="6">
        <f t="shared" si="10"/>
        <v>1026.790914056</v>
      </c>
    </row>
    <row r="74" spans="1:14">
      <c r="A74" s="5">
        <f>tbl_price_history!A74</f>
        <v>45291</v>
      </c>
      <c r="B74" s="15">
        <f>_xlfn.XLOOKUP(A74,tbl_tencent_market_data[Date],tbl_tencent_market_data[Market Cap (HKD B)])</f>
        <v>2620.5041699999997</v>
      </c>
      <c r="C74" s="1">
        <f>_xlfn.XLOOKUP(A74,tbl_fx_rates_data[Date],tbl_fx_rates_data[HKD_ZAR])</f>
        <v>2.34</v>
      </c>
      <c r="D74" s="3">
        <f t="shared" si="11"/>
        <v>2024</v>
      </c>
      <c r="E74" s="6">
        <f t="shared" si="12"/>
        <v>6131.9797577999989</v>
      </c>
      <c r="F74" s="15">
        <f>_xlfn.XLOOKUP(D74,tbl_ownership[Fiscal_Year],tbl_ownership[Ownership_%])</f>
        <v>0.24</v>
      </c>
      <c r="G74" s="6">
        <f t="shared" si="13"/>
        <v>1471.6751418719996</v>
      </c>
      <c r="H74" s="3">
        <f>_xlfn.XLOOKUP(D74,tbl_netdebt[Fiscal_Year],tbl_netdebt[Net_debt_USD_B],0)</f>
        <v>0.7</v>
      </c>
      <c r="I74" s="3">
        <f>_xlfn.XLOOKUP(A74,tbl_fx_rates_data[Date],tbl_fx_rates_data[USD_ZAR])</f>
        <v>18.28</v>
      </c>
      <c r="J74" s="6">
        <f t="shared" si="14"/>
        <v>12.795999999999999</v>
      </c>
      <c r="K74" s="6">
        <f t="shared" si="15"/>
        <v>1458.8791418719995</v>
      </c>
      <c r="L74" s="6">
        <f>_xlfn.XLOOKUP(Table6[[#This Row],[Date]],tbl_naspers_price_data[Date],tbl_naspers_price_data[Market Cap (ZAR B)])</f>
        <v>583.62882000000002</v>
      </c>
      <c r="M74" s="19">
        <f t="shared" si="9"/>
        <v>0.59994710785219585</v>
      </c>
      <c r="N74" s="6">
        <f t="shared" si="10"/>
        <v>875.25032187199952</v>
      </c>
    </row>
    <row r="75" spans="1:14">
      <c r="A75" s="5">
        <f>tbl_price_history!A75</f>
        <v>45322</v>
      </c>
      <c r="B75" s="15">
        <f>_xlfn.XLOOKUP(A75,tbl_tencent_market_data[Date],tbl_tencent_market_data[Market Cap (HKD B)])</f>
        <v>2415.1827599999997</v>
      </c>
      <c r="C75" s="1">
        <f>_xlfn.XLOOKUP(A75,tbl_fx_rates_data[Date],tbl_fx_rates_data[HKD_ZAR])</f>
        <v>2.39</v>
      </c>
      <c r="D75" s="3">
        <f t="shared" si="11"/>
        <v>2024</v>
      </c>
      <c r="E75" s="6">
        <f t="shared" si="12"/>
        <v>5772.2867963999997</v>
      </c>
      <c r="F75" s="15">
        <f>_xlfn.XLOOKUP(D75,tbl_ownership[Fiscal_Year],tbl_ownership[Ownership_%])</f>
        <v>0.24</v>
      </c>
      <c r="G75" s="6">
        <f t="shared" si="13"/>
        <v>1385.3488311359999</v>
      </c>
      <c r="H75" s="3">
        <f>_xlfn.XLOOKUP(D75,tbl_netdebt[Fiscal_Year],tbl_netdebt[Net_debt_USD_B],0)</f>
        <v>0.7</v>
      </c>
      <c r="I75" s="3">
        <f>_xlfn.XLOOKUP(A75,tbl_fx_rates_data[Date],tbl_fx_rates_data[USD_ZAR])</f>
        <v>18.670000000000002</v>
      </c>
      <c r="J75" s="6">
        <f t="shared" si="14"/>
        <v>13.069000000000001</v>
      </c>
      <c r="K75" s="6">
        <f t="shared" si="15"/>
        <v>1372.279831136</v>
      </c>
      <c r="L75" s="6">
        <f>_xlfn.XLOOKUP(Table6[[#This Row],[Date]],tbl_naspers_price_data[Date],tbl_naspers_price_data[Market Cap (ZAR B)])</f>
        <v>585.36419999999998</v>
      </c>
      <c r="M75" s="19">
        <f t="shared" si="9"/>
        <v>0.57343670968666494</v>
      </c>
      <c r="N75" s="6">
        <f t="shared" si="10"/>
        <v>786.915631136</v>
      </c>
    </row>
    <row r="76" spans="1:14">
      <c r="A76" s="5">
        <f>tbl_price_history!A76</f>
        <v>45351</v>
      </c>
      <c r="B76" s="15">
        <f>_xlfn.XLOOKUP(A76,tbl_tencent_market_data[Date],tbl_tencent_market_data[Market Cap (HKD B)])</f>
        <v>2474.1184499999999</v>
      </c>
      <c r="C76" s="1">
        <f>_xlfn.XLOOKUP(A76,tbl_fx_rates_data[Date],tbl_fx_rates_data[HKD_ZAR])</f>
        <v>2.4500000000000002</v>
      </c>
      <c r="D76" s="3">
        <f t="shared" si="11"/>
        <v>2024</v>
      </c>
      <c r="E76" s="6">
        <f t="shared" si="12"/>
        <v>6061.5902025000005</v>
      </c>
      <c r="F76" s="15">
        <f>_xlfn.XLOOKUP(D76,tbl_ownership[Fiscal_Year],tbl_ownership[Ownership_%])</f>
        <v>0.24</v>
      </c>
      <c r="G76" s="6">
        <f t="shared" si="13"/>
        <v>1454.7816486000002</v>
      </c>
      <c r="H76" s="3">
        <f>_xlfn.XLOOKUP(D76,tbl_netdebt[Fiscal_Year],tbl_netdebt[Net_debt_USD_B],0)</f>
        <v>0.7</v>
      </c>
      <c r="I76" s="3">
        <f>_xlfn.XLOOKUP(A76,tbl_fx_rates_data[Date],tbl_fx_rates_data[USD_ZAR])</f>
        <v>19.21</v>
      </c>
      <c r="J76" s="6">
        <f t="shared" si="14"/>
        <v>13.446999999999999</v>
      </c>
      <c r="K76" s="6">
        <f t="shared" si="15"/>
        <v>1441.3346486000003</v>
      </c>
      <c r="L76" s="6">
        <f>_xlfn.XLOOKUP(Table6[[#This Row],[Date]],tbl_naspers_price_data[Date],tbl_naspers_price_data[Market Cap (ZAR B)])</f>
        <v>588.70434</v>
      </c>
      <c r="M76" s="19">
        <f t="shared" si="9"/>
        <v>0.59155610352403487</v>
      </c>
      <c r="N76" s="6">
        <f t="shared" si="10"/>
        <v>852.63030860000026</v>
      </c>
    </row>
    <row r="77" spans="1:14">
      <c r="A77" s="5">
        <f>tbl_price_history!A77</f>
        <v>45382</v>
      </c>
      <c r="B77" s="15">
        <f>_xlfn.XLOOKUP(A77,tbl_tencent_market_data[Date],tbl_tencent_market_data[Market Cap (HKD B)])</f>
        <v>2711.4957899999995</v>
      </c>
      <c r="C77" s="1">
        <f>_xlfn.XLOOKUP(A77,tbl_fx_rates_data[Date],tbl_fx_rates_data[HKD_ZAR])</f>
        <v>2.41</v>
      </c>
      <c r="D77" s="3">
        <f t="shared" si="11"/>
        <v>2024</v>
      </c>
      <c r="E77" s="6">
        <f t="shared" si="12"/>
        <v>6534.7048538999989</v>
      </c>
      <c r="F77" s="15">
        <f>_xlfn.XLOOKUP(D77,tbl_ownership[Fiscal_Year],tbl_ownership[Ownership_%])</f>
        <v>0.24</v>
      </c>
      <c r="G77" s="6">
        <f t="shared" si="13"/>
        <v>1568.3291649359996</v>
      </c>
      <c r="H77" s="3">
        <f>_xlfn.XLOOKUP(D77,tbl_netdebt[Fiscal_Year],tbl_netdebt[Net_debt_USD_B],0)</f>
        <v>0.7</v>
      </c>
      <c r="I77" s="3">
        <f>_xlfn.XLOOKUP(A77,tbl_fx_rates_data[Date],tbl_fx_rates_data[USD_ZAR])</f>
        <v>18.920000000000002</v>
      </c>
      <c r="J77" s="6">
        <f t="shared" si="14"/>
        <v>13.244</v>
      </c>
      <c r="K77" s="6">
        <f t="shared" si="15"/>
        <v>1555.0851649359997</v>
      </c>
      <c r="L77" s="6">
        <f>_xlfn.XLOOKUP(Table6[[#This Row],[Date]],tbl_naspers_price_data[Date],tbl_naspers_price_data[Market Cap (ZAR B)])</f>
        <v>626.47218000000009</v>
      </c>
      <c r="M77" s="19">
        <f t="shared" si="9"/>
        <v>0.5971460636846968</v>
      </c>
      <c r="N77" s="6">
        <f t="shared" si="10"/>
        <v>928.61298493599963</v>
      </c>
    </row>
    <row r="78" spans="1:14">
      <c r="A78" s="5">
        <f>tbl_price_history!A78</f>
        <v>45412</v>
      </c>
      <c r="B78" s="15">
        <f>_xlfn.XLOOKUP(A78,tbl_tencent_market_data[Date],tbl_tencent_market_data[Market Cap (HKD B)])</f>
        <v>3098.8912499999997</v>
      </c>
      <c r="C78" s="1">
        <f>_xlfn.XLOOKUP(A78,tbl_fx_rates_data[Date],tbl_fx_rates_data[HKD_ZAR])</f>
        <v>2.4</v>
      </c>
      <c r="D78" s="3">
        <f t="shared" si="11"/>
        <v>2025</v>
      </c>
      <c r="E78" s="6">
        <f t="shared" si="12"/>
        <v>7437.338999999999</v>
      </c>
      <c r="F78" s="15">
        <f>_xlfn.XLOOKUP(D78,tbl_ownership[Fiscal_Year],tbl_ownership[Ownership_%])</f>
        <v>0.23</v>
      </c>
      <c r="G78" s="6">
        <f t="shared" si="13"/>
        <v>1710.5879699999998</v>
      </c>
      <c r="H78" s="3">
        <f>_xlfn.XLOOKUP(D78,tbl_netdebt[Fiscal_Year],tbl_netdebt[Net_debt_USD_B],0)</f>
        <v>-1.9</v>
      </c>
      <c r="I78" s="3">
        <f>_xlfn.XLOOKUP(A78,tbl_fx_rates_data[Date],tbl_fx_rates_data[USD_ZAR])</f>
        <v>18.760000000000002</v>
      </c>
      <c r="J78" s="6">
        <f t="shared" si="14"/>
        <v>-35.643999999999998</v>
      </c>
      <c r="K78" s="6">
        <f t="shared" si="15"/>
        <v>1746.2319699999998</v>
      </c>
      <c r="L78" s="6">
        <f>_xlfn.XLOOKUP(Table6[[#This Row],[Date]],tbl_naspers_price_data[Date],tbl_naspers_price_data[Market Cap (ZAR B)])</f>
        <v>672.36343999999997</v>
      </c>
      <c r="M78" s="19">
        <f t="shared" si="9"/>
        <v>0.61496327432374287</v>
      </c>
      <c r="N78" s="6">
        <f t="shared" si="10"/>
        <v>1073.8685299999997</v>
      </c>
    </row>
    <row r="79" spans="1:14">
      <c r="A79" s="5">
        <f>tbl_price_history!A79</f>
        <v>45443</v>
      </c>
      <c r="B79" s="15">
        <f>_xlfn.XLOOKUP(A79,tbl_tencent_market_data[Date],tbl_tencent_market_data[Market Cap (HKD B)])</f>
        <v>3211.31403</v>
      </c>
      <c r="C79" s="1">
        <f>_xlfn.XLOOKUP(A79,tbl_fx_rates_data[Date],tbl_fx_rates_data[HKD_ZAR])</f>
        <v>2.41</v>
      </c>
      <c r="D79" s="3">
        <f t="shared" si="11"/>
        <v>2025</v>
      </c>
      <c r="E79" s="6">
        <f t="shared" si="12"/>
        <v>7739.2668123000003</v>
      </c>
      <c r="F79" s="15">
        <f>_xlfn.XLOOKUP(D79,tbl_ownership[Fiscal_Year],tbl_ownership[Ownership_%])</f>
        <v>0.23</v>
      </c>
      <c r="G79" s="6">
        <f t="shared" si="13"/>
        <v>1780.031366829</v>
      </c>
      <c r="H79" s="3">
        <f>_xlfn.XLOOKUP(D79,tbl_netdebt[Fiscal_Year],tbl_netdebt[Net_debt_USD_B],0)</f>
        <v>-1.9</v>
      </c>
      <c r="I79" s="3">
        <f>_xlfn.XLOOKUP(A79,tbl_fx_rates_data[Date],tbl_fx_rates_data[USD_ZAR])</f>
        <v>18.809999999999999</v>
      </c>
      <c r="J79" s="6">
        <f t="shared" si="14"/>
        <v>-35.738999999999997</v>
      </c>
      <c r="K79" s="6">
        <f t="shared" si="15"/>
        <v>1815.7703668290001</v>
      </c>
      <c r="L79" s="6">
        <f>_xlfn.XLOOKUP(Table6[[#This Row],[Date]],tbl_naspers_price_data[Date],tbl_naspers_price_data[Market Cap (ZAR B)])</f>
        <v>694.90852000000007</v>
      </c>
      <c r="M79" s="19">
        <f t="shared" si="9"/>
        <v>0.61729273001984009</v>
      </c>
      <c r="N79" s="6">
        <f t="shared" si="10"/>
        <v>1120.8618468290001</v>
      </c>
    </row>
    <row r="80" spans="1:14">
      <c r="A80" s="5">
        <f>tbl_price_history!A80</f>
        <v>45473</v>
      </c>
      <c r="B80" s="15">
        <f>_xlfn.XLOOKUP(A80,tbl_tencent_market_data[Date],tbl_tencent_market_data[Market Cap (HKD B)])</f>
        <v>3352.52358</v>
      </c>
      <c r="C80" s="1">
        <f>_xlfn.XLOOKUP(A80,tbl_fx_rates_data[Date],tbl_fx_rates_data[HKD_ZAR])</f>
        <v>2.33</v>
      </c>
      <c r="D80" s="3">
        <f t="shared" si="11"/>
        <v>2025</v>
      </c>
      <c r="E80" s="6">
        <f t="shared" si="12"/>
        <v>7811.3799414000005</v>
      </c>
      <c r="F80" s="15">
        <f>_xlfn.XLOOKUP(D80,tbl_ownership[Fiscal_Year],tbl_ownership[Ownership_%])</f>
        <v>0.23</v>
      </c>
      <c r="G80" s="6">
        <f t="shared" si="13"/>
        <v>1796.6173865220003</v>
      </c>
      <c r="H80" s="3">
        <f>_xlfn.XLOOKUP(D80,tbl_netdebt[Fiscal_Year],tbl_netdebt[Net_debt_USD_B],0)</f>
        <v>-1.9</v>
      </c>
      <c r="I80" s="3">
        <f>_xlfn.XLOOKUP(A80,tbl_fx_rates_data[Date],tbl_fx_rates_data[USD_ZAR])</f>
        <v>18.190000000000001</v>
      </c>
      <c r="J80" s="6">
        <f t="shared" si="14"/>
        <v>-34.561</v>
      </c>
      <c r="K80" s="6">
        <f t="shared" si="15"/>
        <v>1831.1783865220002</v>
      </c>
      <c r="L80" s="6">
        <f>_xlfn.XLOOKUP(Table6[[#This Row],[Date]],tbl_naspers_price_data[Date],tbl_naspers_price_data[Market Cap (ZAR B)])</f>
        <v>664.87948000000006</v>
      </c>
      <c r="M80" s="19">
        <f t="shared" si="9"/>
        <v>0.63691168217487482</v>
      </c>
      <c r="N80" s="6">
        <f t="shared" si="10"/>
        <v>1166.2989065220002</v>
      </c>
    </row>
    <row r="81" spans="1:14">
      <c r="A81" s="5">
        <f>tbl_price_history!A81</f>
        <v>45504</v>
      </c>
      <c r="B81" s="15">
        <f>_xlfn.XLOOKUP(A81,tbl_tencent_market_data[Date],tbl_tencent_market_data[Market Cap (HKD B)])</f>
        <v>3260.7146699999998</v>
      </c>
      <c r="C81" s="1">
        <f>_xlfn.XLOOKUP(A81,tbl_fx_rates_data[Date],tbl_fx_rates_data[HKD_ZAR])</f>
        <v>2.33</v>
      </c>
      <c r="D81" s="3">
        <f t="shared" si="11"/>
        <v>2025</v>
      </c>
      <c r="E81" s="6">
        <f t="shared" si="12"/>
        <v>7597.4651810999994</v>
      </c>
      <c r="F81" s="15">
        <f>_xlfn.XLOOKUP(D81,tbl_ownership[Fiscal_Year],tbl_ownership[Ownership_%])</f>
        <v>0.23</v>
      </c>
      <c r="G81" s="6">
        <f t="shared" si="13"/>
        <v>1747.416991653</v>
      </c>
      <c r="H81" s="3">
        <f>_xlfn.XLOOKUP(D81,tbl_netdebt[Fiscal_Year],tbl_netdebt[Net_debt_USD_B],0)</f>
        <v>-1.9</v>
      </c>
      <c r="I81" s="3">
        <f>_xlfn.XLOOKUP(A81,tbl_fx_rates_data[Date],tbl_fx_rates_data[USD_ZAR])</f>
        <v>18.2</v>
      </c>
      <c r="J81" s="6">
        <f t="shared" si="14"/>
        <v>-34.58</v>
      </c>
      <c r="K81" s="6">
        <f t="shared" si="15"/>
        <v>1781.9969916529999</v>
      </c>
      <c r="L81" s="6">
        <f>_xlfn.XLOOKUP(Table6[[#This Row],[Date]],tbl_naspers_price_data[Date],tbl_naspers_price_data[Market Cap (ZAR B)])</f>
        <v>656.49148000000002</v>
      </c>
      <c r="M81" s="19">
        <f t="shared" si="9"/>
        <v>0.63159787414061164</v>
      </c>
      <c r="N81" s="6">
        <f t="shared" si="10"/>
        <v>1125.5055116529998</v>
      </c>
    </row>
    <row r="82" spans="1:14">
      <c r="A82" s="5">
        <f>tbl_price_history!A82</f>
        <v>45535</v>
      </c>
      <c r="B82" s="15">
        <f>_xlfn.XLOOKUP(A82,tbl_tencent_market_data[Date],tbl_tencent_market_data[Market Cap (HKD B)])</f>
        <v>3438.8838899999996</v>
      </c>
      <c r="C82" s="1">
        <f>_xlfn.XLOOKUP(A82,tbl_fx_rates_data[Date],tbl_fx_rates_data[HKD_ZAR])</f>
        <v>2.29</v>
      </c>
      <c r="D82" s="3">
        <f t="shared" si="11"/>
        <v>2025</v>
      </c>
      <c r="E82" s="6">
        <f t="shared" si="12"/>
        <v>7875.044108099999</v>
      </c>
      <c r="F82" s="15">
        <f>_xlfn.XLOOKUP(D82,tbl_ownership[Fiscal_Year],tbl_ownership[Ownership_%])</f>
        <v>0.23</v>
      </c>
      <c r="G82" s="6">
        <f t="shared" si="13"/>
        <v>1811.2601448629998</v>
      </c>
      <c r="H82" s="3">
        <f>_xlfn.XLOOKUP(D82,tbl_netdebt[Fiscal_Year],tbl_netdebt[Net_debt_USD_B],0)</f>
        <v>-1.9</v>
      </c>
      <c r="I82" s="3">
        <f>_xlfn.XLOOKUP(A82,tbl_fx_rates_data[Date],tbl_fx_rates_data[USD_ZAR])</f>
        <v>17.82</v>
      </c>
      <c r="J82" s="6">
        <f t="shared" si="14"/>
        <v>-33.857999999999997</v>
      </c>
      <c r="K82" s="6">
        <f t="shared" si="15"/>
        <v>1845.1181448629998</v>
      </c>
      <c r="L82" s="6">
        <f>_xlfn.XLOOKUP(Table6[[#This Row],[Date]],tbl_naspers_price_data[Date],tbl_naspers_price_data[Market Cap (ZAR B)])</f>
        <v>685.4766800000001</v>
      </c>
      <c r="M82" s="19">
        <f t="shared" si="9"/>
        <v>0.62849171371034518</v>
      </c>
      <c r="N82" s="6">
        <f t="shared" si="10"/>
        <v>1159.6414648629998</v>
      </c>
    </row>
    <row r="83" spans="1:14">
      <c r="A83" s="5">
        <f>tbl_price_history!A83</f>
        <v>45565</v>
      </c>
      <c r="B83" s="15">
        <f>_xlfn.XLOOKUP(A83,tbl_tencent_market_data[Date],tbl_tencent_market_data[Market Cap (HKD B)])</f>
        <v>4002.45075</v>
      </c>
      <c r="C83" s="1">
        <f>_xlfn.XLOOKUP(A83,tbl_fx_rates_data[Date],tbl_fx_rates_data[HKD_ZAR])</f>
        <v>2.2200000000000002</v>
      </c>
      <c r="D83" s="3">
        <f t="shared" si="11"/>
        <v>2025</v>
      </c>
      <c r="E83" s="6">
        <f t="shared" si="12"/>
        <v>8885.4406650000001</v>
      </c>
      <c r="F83" s="15">
        <f>_xlfn.XLOOKUP(D83,tbl_ownership[Fiscal_Year],tbl_ownership[Ownership_%])</f>
        <v>0.23</v>
      </c>
      <c r="G83" s="6">
        <f t="shared" si="13"/>
        <v>2043.65135295</v>
      </c>
      <c r="H83" s="3">
        <f>_xlfn.XLOOKUP(D83,tbl_netdebt[Fiscal_Year],tbl_netdebt[Net_debt_USD_B],0)</f>
        <v>-1.9</v>
      </c>
      <c r="I83" s="3">
        <f>_xlfn.XLOOKUP(A83,tbl_fx_rates_data[Date],tbl_fx_rates_data[USD_ZAR])</f>
        <v>17.260000000000002</v>
      </c>
      <c r="J83" s="6">
        <f t="shared" si="14"/>
        <v>-32.794000000000004</v>
      </c>
      <c r="K83" s="6">
        <f t="shared" si="15"/>
        <v>2076.4453529500001</v>
      </c>
      <c r="L83" s="6">
        <f>_xlfn.XLOOKUP(Table6[[#This Row],[Date]],tbl_naspers_price_data[Date],tbl_naspers_price_data[Market Cap (ZAR B)])</f>
        <v>781.87343999999996</v>
      </c>
      <c r="M83" s="19">
        <f t="shared" si="9"/>
        <v>0.62345580687245417</v>
      </c>
      <c r="N83" s="6">
        <f t="shared" si="10"/>
        <v>1294.5719129500003</v>
      </c>
    </row>
    <row r="84" spans="1:14">
      <c r="A84" s="5">
        <f>tbl_price_history!A84</f>
        <v>45596</v>
      </c>
      <c r="B84" s="15">
        <f>_xlfn.XLOOKUP(A84,tbl_tencent_market_data[Date],tbl_tencent_market_data[Market Cap (HKD B)])</f>
        <v>3642.3890999999999</v>
      </c>
      <c r="C84" s="1">
        <f>_xlfn.XLOOKUP(A84,tbl_fx_rates_data[Date],tbl_fx_rates_data[HKD_ZAR])</f>
        <v>2.2599999999999998</v>
      </c>
      <c r="D84" s="3">
        <f t="shared" si="11"/>
        <v>2025</v>
      </c>
      <c r="E84" s="6">
        <f t="shared" si="12"/>
        <v>8231.7993659999993</v>
      </c>
      <c r="F84" s="15">
        <f>_xlfn.XLOOKUP(D84,tbl_ownership[Fiscal_Year],tbl_ownership[Ownership_%])</f>
        <v>0.23</v>
      </c>
      <c r="G84" s="6">
        <f t="shared" si="13"/>
        <v>1893.3138541799999</v>
      </c>
      <c r="H84" s="3">
        <f>_xlfn.XLOOKUP(D84,tbl_netdebt[Fiscal_Year],tbl_netdebt[Net_debt_USD_B],0)</f>
        <v>-1.9</v>
      </c>
      <c r="I84" s="3">
        <f>_xlfn.XLOOKUP(A84,tbl_fx_rates_data[Date],tbl_fx_rates_data[USD_ZAR])</f>
        <v>17.559999999999999</v>
      </c>
      <c r="J84" s="6">
        <f t="shared" si="14"/>
        <v>-33.363999999999997</v>
      </c>
      <c r="K84" s="6">
        <f t="shared" si="15"/>
        <v>1926.6778541799999</v>
      </c>
      <c r="L84" s="6">
        <f>_xlfn.XLOOKUP(Table6[[#This Row],[Date]],tbl_naspers_price_data[Date],tbl_naspers_price_data[Market Cap (ZAR B)])</f>
        <v>772.41363999999999</v>
      </c>
      <c r="M84" s="19">
        <f t="shared" si="9"/>
        <v>0.59909559435469739</v>
      </c>
      <c r="N84" s="6">
        <f t="shared" si="10"/>
        <v>1154.26421418</v>
      </c>
    </row>
    <row r="85" spans="1:14">
      <c r="A85" s="5">
        <f>tbl_price_history!A85</f>
        <v>45626</v>
      </c>
      <c r="B85" s="15">
        <f>_xlfn.XLOOKUP(A85,tbl_tencent_market_data[Date],tbl_tencent_market_data[Market Cap (HKD B)])</f>
        <v>3582.9993599999998</v>
      </c>
      <c r="C85" s="1">
        <f>_xlfn.XLOOKUP(A85,tbl_fx_rates_data[Date],tbl_fx_rates_data[HKD_ZAR])</f>
        <v>2.3199999999999998</v>
      </c>
      <c r="D85" s="3">
        <f t="shared" si="11"/>
        <v>2025</v>
      </c>
      <c r="E85" s="6">
        <f t="shared" si="12"/>
        <v>8312.5585151999985</v>
      </c>
      <c r="F85" s="15">
        <f>_xlfn.XLOOKUP(D85,tbl_ownership[Fiscal_Year],tbl_ownership[Ownership_%])</f>
        <v>0.23</v>
      </c>
      <c r="G85" s="6">
        <f t="shared" si="13"/>
        <v>1911.8884584959997</v>
      </c>
      <c r="H85" s="3">
        <f>_xlfn.XLOOKUP(D85,tbl_netdebt[Fiscal_Year],tbl_netdebt[Net_debt_USD_B],0)</f>
        <v>-1.9</v>
      </c>
      <c r="I85" s="3">
        <f>_xlfn.XLOOKUP(A85,tbl_fx_rates_data[Date],tbl_fx_rates_data[USD_ZAR])</f>
        <v>18.05</v>
      </c>
      <c r="J85" s="6">
        <f t="shared" si="14"/>
        <v>-34.295000000000002</v>
      </c>
      <c r="K85" s="6">
        <f t="shared" si="15"/>
        <v>1946.1834584959997</v>
      </c>
      <c r="L85" s="6">
        <f>_xlfn.XLOOKUP(Table6[[#This Row],[Date]],tbl_naspers_price_data[Date],tbl_naspers_price_data[Market Cap (ZAR B)])</f>
        <v>758.21928000000003</v>
      </c>
      <c r="M85" s="19">
        <f t="shared" si="9"/>
        <v>0.61040708845303415</v>
      </c>
      <c r="N85" s="6">
        <f t="shared" si="10"/>
        <v>1187.9641784959997</v>
      </c>
    </row>
    <row r="86" spans="1:14">
      <c r="A86" s="5">
        <f>tbl_price_history!A86</f>
        <v>45657</v>
      </c>
      <c r="B86" s="15">
        <f>_xlfn.XLOOKUP(A86,tbl_tencent_market_data[Date],tbl_tencent_market_data[Market Cap (HKD B)])</f>
        <v>3779.2397700000001</v>
      </c>
      <c r="C86" s="1">
        <f>_xlfn.XLOOKUP(A86,tbl_fx_rates_data[Date],tbl_fx_rates_data[HKD_ZAR])</f>
        <v>2.4300000000000002</v>
      </c>
      <c r="D86" s="3">
        <f t="shared" si="11"/>
        <v>2025</v>
      </c>
      <c r="E86" s="6">
        <f t="shared" si="12"/>
        <v>9183.552641100001</v>
      </c>
      <c r="F86" s="15">
        <f>_xlfn.XLOOKUP(D86,tbl_ownership[Fiscal_Year],tbl_ownership[Ownership_%])</f>
        <v>0.23</v>
      </c>
      <c r="G86" s="6">
        <f t="shared" si="13"/>
        <v>2112.2171074530002</v>
      </c>
      <c r="H86" s="3">
        <f>_xlfn.XLOOKUP(D86,tbl_netdebt[Fiscal_Year],tbl_netdebt[Net_debt_USD_B],0)</f>
        <v>-1.9</v>
      </c>
      <c r="I86" s="3">
        <f>_xlfn.XLOOKUP(A86,tbl_fx_rates_data[Date],tbl_fx_rates_data[USD_ZAR])</f>
        <v>18.850000000000001</v>
      </c>
      <c r="J86" s="6">
        <f t="shared" si="14"/>
        <v>-35.814999999999998</v>
      </c>
      <c r="K86" s="6">
        <f t="shared" si="15"/>
        <v>2148.0321074530002</v>
      </c>
      <c r="L86" s="6">
        <f>_xlfn.XLOOKUP(Table6[[#This Row],[Date]],tbl_naspers_price_data[Date],tbl_naspers_price_data[Market Cap (ZAR B)])</f>
        <v>777.82856000000004</v>
      </c>
      <c r="M86" s="19">
        <f t="shared" si="9"/>
        <v>0.63788783356581225</v>
      </c>
      <c r="N86" s="6">
        <f t="shared" si="10"/>
        <v>1370.2035474530003</v>
      </c>
    </row>
    <row r="87" spans="1:14">
      <c r="A87" s="5">
        <f>tbl_price_history!A87</f>
        <v>45688</v>
      </c>
      <c r="B87" s="15">
        <f>_xlfn.XLOOKUP(A87,tbl_tencent_market_data[Date],tbl_tencent_market_data[Market Cap (HKD B)])</f>
        <v>3618.9601199999997</v>
      </c>
      <c r="C87" s="1">
        <f>_xlfn.XLOOKUP(A87,tbl_fx_rates_data[Date],tbl_fx_rates_data[HKD_ZAR])</f>
        <v>2.4</v>
      </c>
      <c r="D87" s="3">
        <f t="shared" si="11"/>
        <v>2025</v>
      </c>
      <c r="E87" s="6">
        <f t="shared" si="12"/>
        <v>8685.5042879999983</v>
      </c>
      <c r="F87" s="15">
        <f>_xlfn.XLOOKUP(D87,tbl_ownership[Fiscal_Year],tbl_ownership[Ownership_%])</f>
        <v>0.23</v>
      </c>
      <c r="G87" s="6">
        <f t="shared" si="13"/>
        <v>1997.6659862399997</v>
      </c>
      <c r="H87" s="3">
        <f>_xlfn.XLOOKUP(D87,tbl_netdebt[Fiscal_Year],tbl_netdebt[Net_debt_USD_B],0)</f>
        <v>-1.9</v>
      </c>
      <c r="I87" s="3">
        <f>_xlfn.XLOOKUP(A87,tbl_fx_rates_data[Date],tbl_fx_rates_data[USD_ZAR])</f>
        <v>18.670000000000002</v>
      </c>
      <c r="J87" s="6">
        <f t="shared" si="14"/>
        <v>-35.472999999999999</v>
      </c>
      <c r="K87" s="6">
        <f t="shared" si="15"/>
        <v>2033.1389862399997</v>
      </c>
      <c r="L87" s="6">
        <f>_xlfn.XLOOKUP(Table6[[#This Row],[Date]],tbl_naspers_price_data[Date],tbl_naspers_price_data[Market Cap (ZAR B)])</f>
        <v>735.79536000000007</v>
      </c>
      <c r="M87" s="19">
        <f t="shared" si="9"/>
        <v>0.63809883880061313</v>
      </c>
      <c r="N87" s="6">
        <f t="shared" si="10"/>
        <v>1297.3436262399996</v>
      </c>
    </row>
    <row r="88" spans="1:14">
      <c r="A88" s="5">
        <f>tbl_price_history!A88</f>
        <v>45716</v>
      </c>
      <c r="B88" s="15">
        <f>_xlfn.XLOOKUP(A88,tbl_tencent_market_data[Date],tbl_tencent_market_data[Market Cap (HKD B)])</f>
        <v>4308.5712599999997</v>
      </c>
      <c r="C88" s="1">
        <f>_xlfn.XLOOKUP(A88,tbl_fx_rates_data[Date],tbl_fx_rates_data[HKD_ZAR])</f>
        <v>2.4</v>
      </c>
      <c r="D88" s="3">
        <f t="shared" si="11"/>
        <v>2025</v>
      </c>
      <c r="E88" s="6">
        <f t="shared" si="12"/>
        <v>10340.571023999999</v>
      </c>
      <c r="F88" s="15">
        <f>_xlfn.XLOOKUP(D88,tbl_ownership[Fiscal_Year],tbl_ownership[Ownership_%])</f>
        <v>0.23</v>
      </c>
      <c r="G88" s="6">
        <f t="shared" si="13"/>
        <v>2378.3313355199998</v>
      </c>
      <c r="H88" s="3">
        <f>_xlfn.XLOOKUP(D88,tbl_netdebt[Fiscal_Year],tbl_netdebt[Net_debt_USD_B],0)</f>
        <v>-1.9</v>
      </c>
      <c r="I88" s="3">
        <f>_xlfn.XLOOKUP(A88,tbl_fx_rates_data[Date],tbl_fx_rates_data[USD_ZAR])</f>
        <v>18.690000000000001</v>
      </c>
      <c r="J88" s="6">
        <f t="shared" si="14"/>
        <v>-35.511000000000003</v>
      </c>
      <c r="K88" s="6">
        <f t="shared" si="15"/>
        <v>2413.8423355199998</v>
      </c>
      <c r="L88" s="6">
        <f>_xlfn.XLOOKUP(Table6[[#This Row],[Date]],tbl_naspers_price_data[Date],tbl_naspers_price_data[Market Cap (ZAR B)])</f>
        <v>826.39508000000012</v>
      </c>
      <c r="M88" s="19">
        <f t="shared" si="9"/>
        <v>0.65764330675641469</v>
      </c>
      <c r="N88" s="6">
        <f t="shared" si="10"/>
        <v>1587.4472555199995</v>
      </c>
    </row>
    <row r="89" spans="1:14">
      <c r="A89" s="5">
        <f>tbl_price_history!A89</f>
        <v>45747</v>
      </c>
      <c r="B89" s="15">
        <f>_xlfn.XLOOKUP(A89,tbl_tencent_market_data[Date],tbl_tencent_market_data[Market Cap (HKD B)])</f>
        <v>4474.2086999999992</v>
      </c>
      <c r="C89" s="1">
        <f>_xlfn.XLOOKUP(A89,tbl_fx_rates_data[Date],tbl_fx_rates_data[HKD_ZAR])</f>
        <v>2.35</v>
      </c>
      <c r="D89" s="3">
        <f t="shared" si="11"/>
        <v>2025</v>
      </c>
      <c r="E89" s="6">
        <f t="shared" si="12"/>
        <v>10514.390444999999</v>
      </c>
      <c r="F89" s="15">
        <f>_xlfn.XLOOKUP(D89,tbl_ownership[Fiscal_Year],tbl_ownership[Ownership_%])</f>
        <v>0.23</v>
      </c>
      <c r="G89" s="6">
        <f t="shared" si="13"/>
        <v>2418.3098023499997</v>
      </c>
      <c r="H89" s="3">
        <f>_xlfn.XLOOKUP(D89,tbl_netdebt[Fiscal_Year],tbl_netdebt[Net_debt_USD_B],0)</f>
        <v>-1.9</v>
      </c>
      <c r="I89" s="3">
        <f>_xlfn.XLOOKUP(A89,tbl_fx_rates_data[Date],tbl_fx_rates_data[USD_ZAR])</f>
        <v>18.309999999999999</v>
      </c>
      <c r="J89" s="6">
        <f t="shared" si="14"/>
        <v>-34.788999999999994</v>
      </c>
      <c r="K89" s="6">
        <f t="shared" si="15"/>
        <v>2453.0988023499999</v>
      </c>
      <c r="L89" s="6">
        <f>_xlfn.XLOOKUP(Table6[[#This Row],[Date]],tbl_naspers_price_data[Date],tbl_naspers_price_data[Market Cap (ZAR B)])</f>
        <v>842.11792000000003</v>
      </c>
      <c r="M89" s="19">
        <f t="shared" si="9"/>
        <v>0.65671259584274599</v>
      </c>
      <c r="N89" s="6">
        <f t="shared" si="10"/>
        <v>1610.9808823499998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0D461-42A9-40F9-ACBE-7985399C8AFD}">
  <dimension ref="A1"/>
  <sheetViews>
    <sheetView workbookViewId="0">
      <selection activeCell="A7" sqref="A7"/>
    </sheetView>
  </sheetViews>
  <sheetFormatPr defaultRowHeight="15"/>
  <cols>
    <col min="1" max="1" width="36.5703125" bestFit="1" customWidth="1"/>
  </cols>
  <sheetData>
    <row r="1" spans="1:1" ht="54.75">
      <c r="A1" s="14" t="s">
        <v>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7984C-95FA-4288-A273-6A8FB3098AE4}">
  <dimension ref="A3:B23"/>
  <sheetViews>
    <sheetView tabSelected="1" workbookViewId="0">
      <selection activeCell="A3" sqref="A3"/>
    </sheetView>
  </sheetViews>
  <sheetFormatPr defaultRowHeight="15"/>
  <cols>
    <col min="1" max="1" width="13.42578125" bestFit="1" customWidth="1"/>
    <col min="2" max="2" width="18.7109375" bestFit="1" customWidth="1"/>
  </cols>
  <sheetData>
    <row r="3" spans="1:2">
      <c r="A3" s="10" t="s">
        <v>28</v>
      </c>
      <c r="B3" s="3"/>
    </row>
    <row r="4" spans="1:2">
      <c r="A4" s="3"/>
      <c r="B4" s="3"/>
    </row>
    <row r="5" spans="1:2">
      <c r="A5" s="3" t="s">
        <v>17</v>
      </c>
      <c r="B5" s="3" t="s">
        <v>19</v>
      </c>
    </row>
    <row r="6" spans="1:2">
      <c r="A6" s="3">
        <v>2019</v>
      </c>
      <c r="B6" s="3">
        <v>0.31</v>
      </c>
    </row>
    <row r="7" spans="1:2">
      <c r="A7" s="3">
        <v>2020</v>
      </c>
      <c r="B7" s="3">
        <v>0.31</v>
      </c>
    </row>
    <row r="8" spans="1:2">
      <c r="A8" s="3">
        <v>2021</v>
      </c>
      <c r="B8" s="3">
        <v>0.28999999999999998</v>
      </c>
    </row>
    <row r="9" spans="1:2">
      <c r="A9" s="3">
        <v>2022</v>
      </c>
      <c r="B9" s="3">
        <v>0.26</v>
      </c>
    </row>
    <row r="10" spans="1:2">
      <c r="A10" s="3">
        <v>2023</v>
      </c>
      <c r="B10" s="3">
        <v>0.26</v>
      </c>
    </row>
    <row r="11" spans="1:2">
      <c r="A11" s="3">
        <v>2024</v>
      </c>
      <c r="B11" s="3">
        <v>0.24</v>
      </c>
    </row>
    <row r="12" spans="1:2">
      <c r="A12" s="3">
        <v>2025</v>
      </c>
      <c r="B12" s="3">
        <v>0.23</v>
      </c>
    </row>
    <row r="13" spans="1:2">
      <c r="A13" s="3"/>
      <c r="B13" s="3"/>
    </row>
    <row r="14" spans="1:2">
      <c r="A14" s="10" t="s">
        <v>29</v>
      </c>
      <c r="B14" s="3"/>
    </row>
    <row r="15" spans="1:2">
      <c r="A15" s="3"/>
      <c r="B15" s="3"/>
    </row>
    <row r="16" spans="1:2">
      <c r="A16" s="3" t="s">
        <v>17</v>
      </c>
      <c r="B16" s="3" t="s">
        <v>21</v>
      </c>
    </row>
    <row r="17" spans="1:2">
      <c r="A17" s="3">
        <v>2019</v>
      </c>
      <c r="B17" s="3">
        <v>-9.1</v>
      </c>
    </row>
    <row r="18" spans="1:2">
      <c r="A18" s="3">
        <v>2020</v>
      </c>
      <c r="B18" s="3">
        <v>-4.4000000000000004</v>
      </c>
    </row>
    <row r="19" spans="1:2">
      <c r="A19" s="3">
        <v>2021</v>
      </c>
      <c r="B19" s="3">
        <v>-3.9</v>
      </c>
    </row>
    <row r="20" spans="1:2">
      <c r="A20" s="3">
        <v>2022</v>
      </c>
      <c r="B20" s="3">
        <v>0.8</v>
      </c>
    </row>
    <row r="21" spans="1:2">
      <c r="A21" s="3">
        <v>2023</v>
      </c>
      <c r="B21" s="3">
        <v>0.4</v>
      </c>
    </row>
    <row r="22" spans="1:2">
      <c r="A22" s="3">
        <v>2024</v>
      </c>
      <c r="B22" s="3">
        <v>0.7</v>
      </c>
    </row>
    <row r="23" spans="1:2">
      <c r="A23" s="3">
        <v>2025</v>
      </c>
      <c r="B23" s="3">
        <v>-1.9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D0138-9843-4043-9E19-485DC04782C2}">
  <dimension ref="A3:J9"/>
  <sheetViews>
    <sheetView workbookViewId="0">
      <selection activeCell="I16" sqref="I16"/>
    </sheetView>
  </sheetViews>
  <sheetFormatPr defaultRowHeight="15"/>
  <cols>
    <col min="1" max="1" width="31.28515625" bestFit="1" customWidth="1"/>
    <col min="5" max="5" width="14.5703125" bestFit="1" customWidth="1"/>
    <col min="7" max="7" width="30.42578125" bestFit="1" customWidth="1"/>
    <col min="8" max="9" width="14.85546875" bestFit="1" customWidth="1"/>
  </cols>
  <sheetData>
    <row r="3" spans="1:10" ht="18.75">
      <c r="A3" s="11" t="s">
        <v>30</v>
      </c>
    </row>
    <row r="4" spans="1:10">
      <c r="H4" s="3" t="s">
        <v>31</v>
      </c>
      <c r="J4" s="3" t="s">
        <v>32</v>
      </c>
    </row>
    <row r="5" spans="1:10">
      <c r="A5" s="22" t="s">
        <v>33</v>
      </c>
      <c r="B5" s="22" t="s">
        <v>32</v>
      </c>
      <c r="C5" s="22" t="s">
        <v>34</v>
      </c>
      <c r="D5" s="22" t="s">
        <v>35</v>
      </c>
      <c r="E5" s="22" t="s">
        <v>36</v>
      </c>
      <c r="F5" s="22" t="s">
        <v>37</v>
      </c>
      <c r="G5" s="22" t="s">
        <v>38</v>
      </c>
      <c r="J5" s="23"/>
    </row>
    <row r="6" spans="1:10">
      <c r="A6" s="3" t="s">
        <v>39</v>
      </c>
      <c r="B6" s="3">
        <v>0.5</v>
      </c>
      <c r="C6" s="3">
        <v>0.35</v>
      </c>
      <c r="D6" s="3">
        <v>0.65</v>
      </c>
      <c r="E6" s="3">
        <f>IF($J$4="Bull",Table7[[#This Row],[Bull]],IF($J$4="Bear",Table7[[#This Row],[Bear]],Table7[[#This Row],[Base]]))</f>
        <v>0.5</v>
      </c>
      <c r="F6" s="3" t="s">
        <v>40</v>
      </c>
      <c r="G6" s="3" t="s">
        <v>41</v>
      </c>
      <c r="J6" s="23"/>
    </row>
    <row r="7" spans="1:10">
      <c r="A7" s="3" t="s">
        <v>42</v>
      </c>
      <c r="B7" s="3">
        <v>0</v>
      </c>
      <c r="C7" s="3">
        <v>0.2</v>
      </c>
      <c r="D7" s="3">
        <v>-0.25</v>
      </c>
      <c r="E7" s="3">
        <f>IF($J$4="Bull",Table7[[#This Row],[Bull]],IF($J$4="Bear",Table7[[#This Row],[Bear]],Table7[[#This Row],[Base]]))</f>
        <v>0</v>
      </c>
      <c r="F7" s="3" t="s">
        <v>40</v>
      </c>
      <c r="G7" s="3" t="s">
        <v>43</v>
      </c>
    </row>
    <row r="8" spans="1:10">
      <c r="A8" s="3" t="s">
        <v>44</v>
      </c>
      <c r="B8" s="3">
        <v>0</v>
      </c>
      <c r="C8" s="3">
        <v>-0.05</v>
      </c>
      <c r="D8" s="3">
        <v>0.1</v>
      </c>
      <c r="E8" s="3">
        <f>IF($J$4="Bull",Table7[[#This Row],[Bull]],IF($J$4="Bear",Table7[[#This Row],[Bear]],Table7[[#This Row],[Base]]))</f>
        <v>0</v>
      </c>
      <c r="F8" s="3" t="s">
        <v>40</v>
      </c>
      <c r="G8" s="3" t="s">
        <v>45</v>
      </c>
    </row>
    <row r="9" spans="1:10">
      <c r="A9" s="3" t="s">
        <v>46</v>
      </c>
      <c r="B9" s="3">
        <v>0</v>
      </c>
      <c r="C9" s="3">
        <v>-0.5</v>
      </c>
      <c r="D9" s="3">
        <v>0.5</v>
      </c>
      <c r="E9" s="3">
        <f>IF($J$4="Bull",Table7[[#This Row],[Bull]],IF($J$4="Bear",Table7[[#This Row],[Bear]],Table7[[#This Row],[Base]]))</f>
        <v>0</v>
      </c>
      <c r="F9" s="3" t="s">
        <v>47</v>
      </c>
      <c r="G9" s="3" t="s">
        <v>48</v>
      </c>
    </row>
  </sheetData>
  <dataValidations count="1">
    <dataValidation type="list" allowBlank="1" showInputMessage="1" showErrorMessage="1" sqref="J4" xr:uid="{25648AFD-B152-41B1-8F08-478651AEFAD9}">
      <formula1>"Base,Bull,Bear"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09734-5733-407A-9EB9-7A15D767696C}">
  <dimension ref="A2:I42"/>
  <sheetViews>
    <sheetView showGridLines="0" topLeftCell="B22" workbookViewId="0">
      <selection activeCell="I40" sqref="I40"/>
    </sheetView>
  </sheetViews>
  <sheetFormatPr defaultRowHeight="15"/>
  <cols>
    <col min="1" max="1" width="32.85546875" bestFit="1" customWidth="1"/>
    <col min="2" max="2" width="36.5703125" bestFit="1" customWidth="1"/>
    <col min="4" max="4" width="29.5703125" bestFit="1" customWidth="1"/>
    <col min="5" max="5" width="17.7109375" bestFit="1" customWidth="1"/>
    <col min="8" max="8" width="16.28515625" bestFit="1" customWidth="1"/>
    <col min="9" max="9" width="19" bestFit="1" customWidth="1"/>
  </cols>
  <sheetData>
    <row r="2" spans="1:9">
      <c r="A2" s="3" t="s">
        <v>49</v>
      </c>
      <c r="B2" s="24" cm="1">
        <f t="array" ref="B2">LOOKUP(2,1/(calc_lookthrough_nav!A:A&lt;&gt;""),calc_lookthrough_nav!A:A)</f>
        <v>45747</v>
      </c>
      <c r="D2" s="10" t="s">
        <v>50</v>
      </c>
      <c r="E2" s="3"/>
      <c r="F2" s="3"/>
      <c r="G2" s="3"/>
      <c r="H2" s="10" t="s">
        <v>51</v>
      </c>
      <c r="I2" s="10" t="s">
        <v>52</v>
      </c>
    </row>
    <row r="3" spans="1:9">
      <c r="A3" s="3" t="s">
        <v>53</v>
      </c>
      <c r="B3" s="15">
        <f>_xlfn.XLOOKUP(B2,calc_lookthrough_nav!A:A,calc_lookthrough_nav!K:K)</f>
        <v>2453.0988023499999</v>
      </c>
      <c r="D3" s="10"/>
      <c r="E3" s="10"/>
      <c r="F3" s="10"/>
      <c r="G3" s="10"/>
      <c r="H3" s="19">
        <f xml:space="preserve"> B8</f>
        <v>0.65671259584274599</v>
      </c>
      <c r="I3" s="6">
        <f xml:space="preserve"> B4</f>
        <v>842.11792000000003</v>
      </c>
    </row>
    <row r="4" spans="1:9">
      <c r="A4" s="3" t="s">
        <v>54</v>
      </c>
      <c r="B4" s="15">
        <f>_xlfn.XLOOKUP(B2,calc_lookthrough_nav!A:A,calc_lookthrough_nav!L:L)</f>
        <v>842.11792000000003</v>
      </c>
      <c r="D4" s="10" t="s">
        <v>55</v>
      </c>
      <c r="E4" s="10" t="s">
        <v>32</v>
      </c>
      <c r="F4" s="10" t="s">
        <v>34</v>
      </c>
      <c r="G4" s="10" t="s">
        <v>35</v>
      </c>
    </row>
    <row r="5" spans="1:9">
      <c r="A5" s="3" t="s">
        <v>56</v>
      </c>
      <c r="B5" s="18">
        <f>_xlfn.XLOOKUP("Target_Holding_Discount_%",assumptions_core!A:A,assumptions_core!E:E)</f>
        <v>0.5</v>
      </c>
      <c r="D5" s="3" t="s">
        <v>57</v>
      </c>
      <c r="E5" s="19">
        <f>_xlfn.XLOOKUP("Target_Holding_Discount_%",assumptions_core!A:A,assumptions_core!B:B)</f>
        <v>0.5</v>
      </c>
      <c r="F5" s="19">
        <f>_xlfn.XLOOKUP("Target_Holding_Discount_%",assumptions_core!A:A,assumptions_core!C:C)</f>
        <v>0.35</v>
      </c>
      <c r="G5" s="19">
        <f>_xlfn.XLOOKUP("Target_Holding_Discount_%",assumptions_core!A:A,assumptions_core!D:D)</f>
        <v>0.65</v>
      </c>
    </row>
    <row r="6" spans="1:9">
      <c r="A6" s="3" t="s">
        <v>58</v>
      </c>
      <c r="B6" s="6">
        <f>B3*(1-B5)</f>
        <v>1226.549401175</v>
      </c>
      <c r="D6" s="3" t="s">
        <v>59</v>
      </c>
      <c r="E6" s="6">
        <f>$B$3*(1-E5)</f>
        <v>1226.549401175</v>
      </c>
      <c r="F6" s="6">
        <f t="shared" ref="F6:G6" si="0">$B$3*(1-F5)</f>
        <v>1594.5142215275</v>
      </c>
      <c r="G6" s="6">
        <f t="shared" si="0"/>
        <v>858.5845808224999</v>
      </c>
    </row>
    <row r="7" spans="1:9">
      <c r="A7" s="3" t="s">
        <v>60</v>
      </c>
      <c r="B7" s="19">
        <f>(B6/B4)-1</f>
        <v>0.45650552261730737</v>
      </c>
      <c r="D7" s="3" t="s">
        <v>61</v>
      </c>
      <c r="E7" s="19">
        <f>(E6/$B$4)-1</f>
        <v>0.45650552261730737</v>
      </c>
      <c r="F7" s="19">
        <f t="shared" ref="F7:G7" si="1">(F6/$B$4)-1</f>
        <v>0.89345717940249969</v>
      </c>
      <c r="G7" s="19">
        <f t="shared" si="1"/>
        <v>1.9553865832115047E-2</v>
      </c>
    </row>
    <row r="8" spans="1:9">
      <c r="A8" s="3" t="s">
        <v>62</v>
      </c>
      <c r="B8" s="19">
        <f>1-(B4/B3)</f>
        <v>0.65671259584274599</v>
      </c>
      <c r="D8" s="3" t="s">
        <v>63</v>
      </c>
      <c r="E8" s="6" cm="1">
        <f t="array" ref="E8">E6 / LOOKUP(2,1/(tbl_naspers_price_data[Shares Outstanding (B)]&lt;&gt;""),tbl_naspers_price_data[Shares Outstanding (B)])</f>
        <v>1316.0401300160943</v>
      </c>
      <c r="F8" s="6">
        <f>F6 / _xlfn.XLOOKUP($B$2,tbl_naspers_price_data[Date],tbl_naspers_price_data[Shares Outstanding (B)])</f>
        <v>1710.8521690209227</v>
      </c>
      <c r="G8" s="6">
        <f>G6 / _xlfn.XLOOKUP($B$2,tbl_naspers_price_data[Date],tbl_naspers_price_data[Shares Outstanding (B)])</f>
        <v>921.22809101126597</v>
      </c>
    </row>
    <row r="9" spans="1:9">
      <c r="A9" s="3" t="s">
        <v>64</v>
      </c>
      <c r="B9" s="19">
        <f>B8-B5</f>
        <v>0.15671259584274599</v>
      </c>
    </row>
    <row r="11" spans="1:9">
      <c r="D11" s="10" t="s">
        <v>65</v>
      </c>
      <c r="E11" s="3"/>
    </row>
    <row r="12" spans="1:9">
      <c r="D12" s="3"/>
      <c r="E12" s="3"/>
    </row>
    <row r="13" spans="1:9">
      <c r="D13" s="3" t="s">
        <v>66</v>
      </c>
      <c r="E13" s="3" t="s">
        <v>63</v>
      </c>
    </row>
    <row r="14" spans="1:9">
      <c r="D14" s="25">
        <v>0.3</v>
      </c>
      <c r="E14" s="6">
        <f>($B$3*(1-D14)) / _xlfn.XLOOKUP($B$2,tbl_naspers_price_data[Date],tbl_naspers_price_data[Shares Outstanding (B)])</f>
        <v>1842.4561820225319</v>
      </c>
    </row>
    <row r="15" spans="1:9">
      <c r="D15" s="25">
        <v>0.35</v>
      </c>
      <c r="E15" s="6">
        <f>($B$3*(1-D15)) / _xlfn.XLOOKUP($B$2,tbl_naspers_price_data[Date],tbl_naspers_price_data[Shares Outstanding (B)])</f>
        <v>1710.8521690209227</v>
      </c>
    </row>
    <row r="16" spans="1:9">
      <c r="D16" s="25">
        <v>0.4</v>
      </c>
      <c r="E16" s="6">
        <f>($B$3*(1-D16)) / _xlfn.XLOOKUP($B$2,tbl_naspers_price_data[Date],tbl_naspers_price_data[Shares Outstanding (B)])</f>
        <v>1579.2481560193132</v>
      </c>
    </row>
    <row r="17" spans="4:5">
      <c r="D17" s="25">
        <v>0.45</v>
      </c>
      <c r="E17" s="6">
        <f>($B$3*(1-D17)) / _xlfn.XLOOKUP($B$2,tbl_naspers_price_data[Date],tbl_naspers_price_data[Shares Outstanding (B)])</f>
        <v>1447.6441430177038</v>
      </c>
    </row>
    <row r="18" spans="4:5">
      <c r="D18" s="25">
        <v>0.5</v>
      </c>
      <c r="E18" s="6">
        <f>($B$3*(1-D18)) / _xlfn.XLOOKUP($B$2,tbl_naspers_price_data[Date],tbl_naspers_price_data[Shares Outstanding (B)])</f>
        <v>1316.0401300160943</v>
      </c>
    </row>
    <row r="19" spans="4:5">
      <c r="D19" s="25">
        <v>0.55000000000000004</v>
      </c>
      <c r="E19" s="6">
        <f>($B$3*(1-D19)) / _xlfn.XLOOKUP($B$2,tbl_naspers_price_data[Date],tbl_naspers_price_data[Shares Outstanding (B)])</f>
        <v>1184.4361170144848</v>
      </c>
    </row>
    <row r="20" spans="4:5">
      <c r="D20" s="25">
        <v>0.6</v>
      </c>
      <c r="E20" s="6">
        <f>($B$3*(1-D20)) / _xlfn.XLOOKUP($B$2,tbl_naspers_price_data[Date],tbl_naspers_price_data[Shares Outstanding (B)])</f>
        <v>1052.8321040128756</v>
      </c>
    </row>
    <row r="21" spans="4:5">
      <c r="D21" s="25">
        <v>0.65</v>
      </c>
      <c r="E21" s="6">
        <f>($B$3*(1-D21)) / _xlfn.XLOOKUP($B$2,tbl_naspers_price_data[Date],tbl_naspers_price_data[Shares Outstanding (B)])</f>
        <v>921.22809101126597</v>
      </c>
    </row>
    <row r="22" spans="4:5">
      <c r="D22" s="25">
        <v>0.7</v>
      </c>
      <c r="E22" s="6">
        <f>($B$3*(1-D22)) / _xlfn.XLOOKUP($B$2,tbl_naspers_price_data[Date],tbl_naspers_price_data[Shares Outstanding (B)])</f>
        <v>789.62407800965673</v>
      </c>
    </row>
    <row r="38" spans="4:4">
      <c r="D38" s="10" t="s">
        <v>67</v>
      </c>
    </row>
    <row r="39" spans="4:4">
      <c r="D39" s="3" t="s">
        <v>68</v>
      </c>
    </row>
    <row r="40" spans="4:4">
      <c r="D40" s="3" t="s">
        <v>69</v>
      </c>
    </row>
    <row r="41" spans="4:4">
      <c r="D41" s="3" t="s">
        <v>70</v>
      </c>
    </row>
    <row r="42" spans="4:4">
      <c r="D42" s="3" t="s">
        <v>71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4B0DA-38B5-48F0-ADF0-B7A654A02517}">
  <dimension ref="A3:A37"/>
  <sheetViews>
    <sheetView workbookViewId="0">
      <selection activeCell="C1" sqref="C1"/>
    </sheetView>
  </sheetViews>
  <sheetFormatPr defaultRowHeight="15"/>
  <cols>
    <col min="1" max="1" width="36.5703125" bestFit="1" customWidth="1"/>
  </cols>
  <sheetData>
    <row r="3" spans="1:1" ht="39.75">
      <c r="A3" s="26" t="s">
        <v>72</v>
      </c>
    </row>
    <row r="4" spans="1:1">
      <c r="A4" s="3"/>
    </row>
    <row r="5" spans="1:1">
      <c r="A5" s="3"/>
    </row>
    <row r="6" spans="1:1" ht="15.75">
      <c r="A6" s="27" t="s">
        <v>73</v>
      </c>
    </row>
    <row r="7" spans="1:1">
      <c r="A7" s="3"/>
    </row>
    <row r="8" spans="1:1" ht="29.25">
      <c r="A8" s="1" t="s">
        <v>74</v>
      </c>
    </row>
    <row r="9" spans="1:1">
      <c r="A9" s="3"/>
    </row>
    <row r="10" spans="1:1" ht="15.75">
      <c r="A10" s="27" t="s">
        <v>75</v>
      </c>
    </row>
    <row r="11" spans="1:1">
      <c r="A11" s="3"/>
    </row>
    <row r="12" spans="1:1">
      <c r="A12" s="3" t="s">
        <v>76</v>
      </c>
    </row>
    <row r="13" spans="1:1">
      <c r="A13" s="3" t="s">
        <v>77</v>
      </c>
    </row>
    <row r="14" spans="1:1">
      <c r="A14" s="3" t="s">
        <v>78</v>
      </c>
    </row>
    <row r="15" spans="1:1">
      <c r="A15" s="3" t="s">
        <v>79</v>
      </c>
    </row>
    <row r="16" spans="1:1">
      <c r="A16" s="3" t="s">
        <v>80</v>
      </c>
    </row>
    <row r="17" spans="1:1">
      <c r="A17" s="3"/>
    </row>
    <row r="18" spans="1:1" ht="15.75">
      <c r="A18" s="27" t="s">
        <v>81</v>
      </c>
    </row>
    <row r="19" spans="1:1">
      <c r="A19" s="3"/>
    </row>
    <row r="20" spans="1:1">
      <c r="A20" s="1" t="s">
        <v>82</v>
      </c>
    </row>
    <row r="21" spans="1:1">
      <c r="A21" s="1" t="s">
        <v>83</v>
      </c>
    </row>
    <row r="22" spans="1:1">
      <c r="A22" s="1" t="s">
        <v>84</v>
      </c>
    </row>
    <row r="23" spans="1:1" ht="29.25">
      <c r="A23" s="1" t="s">
        <v>85</v>
      </c>
    </row>
    <row r="24" spans="1:1">
      <c r="A24" s="3"/>
    </row>
    <row r="25" spans="1:1" ht="15.75">
      <c r="A25" s="27" t="s">
        <v>86</v>
      </c>
    </row>
    <row r="26" spans="1:1">
      <c r="A26" s="3"/>
    </row>
    <row r="27" spans="1:1">
      <c r="A27" s="3" t="s">
        <v>87</v>
      </c>
    </row>
    <row r="28" spans="1:1">
      <c r="A28" s="3" t="s">
        <v>88</v>
      </c>
    </row>
    <row r="29" spans="1:1">
      <c r="A29" s="3" t="s">
        <v>89</v>
      </c>
    </row>
    <row r="30" spans="1:1">
      <c r="A30" s="3" t="s">
        <v>90</v>
      </c>
    </row>
    <row r="31" spans="1:1">
      <c r="A31" s="3"/>
    </row>
    <row r="32" spans="1:1" ht="15.75">
      <c r="A32" s="27" t="s">
        <v>91</v>
      </c>
    </row>
    <row r="33" spans="1:1">
      <c r="A33" s="3"/>
    </row>
    <row r="34" spans="1:1">
      <c r="A34" s="3" t="s">
        <v>92</v>
      </c>
    </row>
    <row r="35" spans="1:1">
      <c r="A35" s="3" t="s">
        <v>93</v>
      </c>
    </row>
    <row r="36" spans="1:1">
      <c r="A36" s="3" t="s">
        <v>94</v>
      </c>
    </row>
    <row r="37" spans="1:1">
      <c r="A37" s="3" t="s">
        <v>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2026-02-17T12:18:48Z</dcterms:created>
  <dcterms:modified xsi:type="dcterms:W3CDTF">2026-02-21T04:05:27Z</dcterms:modified>
  <cp:category/>
  <cp:contentStatus/>
</cp:coreProperties>
</file>