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xr:revisionPtr revIDLastSave="0" documentId="8_{5AE2A050-9A80-4EDE-8216-B590D8395D25}" xr6:coauthVersionLast="47" xr6:coauthVersionMax="47" xr10:uidLastSave="{00000000-0000-0000-0000-000000000000}"/>
  <bookViews>
    <workbookView xWindow="240" yWindow="105" windowWidth="14805" windowHeight="8010" firstSheet="6" activeTab="8" xr2:uid="{00000000-000D-0000-FFFF-FFFF00000000}"/>
  </bookViews>
  <sheets>
    <sheet name="README" sheetId="1" r:id="rId1"/>
    <sheet name="tbl_price_history" sheetId="2" r:id="rId2"/>
    <sheet name="tbl_tencent_market" sheetId="3" r:id="rId3"/>
    <sheet name="tbl_fx_rates" sheetId="4" r:id="rId4"/>
    <sheet name="calc_lookthrough_nav" sheetId="5" r:id="rId5"/>
    <sheet name="tbl_shares_outstanding" sheetId="6" r:id="rId6"/>
    <sheet name="tbl_nav_components" sheetId="7" r:id="rId7"/>
    <sheet name="assumptions_core" sheetId="8" r:id="rId8"/>
    <sheet name="Valuation_Dashboard" sheetId="9" r:id="rId9"/>
    <sheet name="model_overview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9" l="1"/>
  <c r="F5" i="9"/>
  <c r="E5" i="9"/>
  <c r="E9" i="8"/>
  <c r="E8" i="8"/>
  <c r="E7" i="8"/>
  <c r="E6" i="8"/>
  <c r="B5" i="9" s="1"/>
  <c r="A6" i="5"/>
  <c r="A6" i="4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A6" i="3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A7" i="2"/>
  <c r="D6" i="2"/>
  <c r="A7" i="5" l="1"/>
  <c r="A7" i="4"/>
  <c r="A7" i="3"/>
  <c r="A8" i="2"/>
  <c r="L6" i="5"/>
  <c r="I6" i="5"/>
  <c r="D6" i="5"/>
  <c r="C6" i="5"/>
  <c r="B6" i="5"/>
  <c r="E6" i="5" l="1"/>
  <c r="H6" i="5"/>
  <c r="J6" i="5" s="1"/>
  <c r="F6" i="5"/>
  <c r="A8" i="5"/>
  <c r="A8" i="4"/>
  <c r="A8" i="3"/>
  <c r="A9" i="2"/>
  <c r="L7" i="5"/>
  <c r="I7" i="5"/>
  <c r="D7" i="5"/>
  <c r="C7" i="5"/>
  <c r="B7" i="5"/>
  <c r="H7" i="5" l="1"/>
  <c r="J7" i="5" s="1"/>
  <c r="F7" i="5"/>
  <c r="A9" i="5"/>
  <c r="A9" i="4"/>
  <c r="A9" i="3"/>
  <c r="A10" i="2"/>
  <c r="L8" i="5"/>
  <c r="I8" i="5"/>
  <c r="D8" i="5"/>
  <c r="C8" i="5"/>
  <c r="B8" i="5"/>
  <c r="E8" i="5" s="1"/>
  <c r="E7" i="5"/>
  <c r="G6" i="5"/>
  <c r="K6" i="5" s="1"/>
  <c r="N6" i="5" l="1"/>
  <c r="M6" i="5"/>
  <c r="G7" i="5"/>
  <c r="K7" i="5" s="1"/>
  <c r="H8" i="5"/>
  <c r="J8" i="5" s="1"/>
  <c r="F8" i="5"/>
  <c r="G8" i="5" s="1"/>
  <c r="K8" i="5" s="1"/>
  <c r="A10" i="5"/>
  <c r="A10" i="4"/>
  <c r="A10" i="3"/>
  <c r="A11" i="2"/>
  <c r="L9" i="5"/>
  <c r="I9" i="5"/>
  <c r="D9" i="5"/>
  <c r="C9" i="5"/>
  <c r="B9" i="5"/>
  <c r="N8" i="5" l="1"/>
  <c r="M8" i="5"/>
  <c r="A11" i="5"/>
  <c r="A11" i="4"/>
  <c r="A11" i="3"/>
  <c r="A12" i="2"/>
  <c r="L10" i="5"/>
  <c r="I10" i="5"/>
  <c r="D10" i="5"/>
  <c r="C10" i="5"/>
  <c r="B10" i="5"/>
  <c r="E10" i="5" s="1"/>
  <c r="N7" i="5"/>
  <c r="M7" i="5"/>
  <c r="H9" i="5"/>
  <c r="J9" i="5" s="1"/>
  <c r="F9" i="5"/>
  <c r="E9" i="5"/>
  <c r="G9" i="5" s="1"/>
  <c r="K9" i="5" l="1"/>
  <c r="G10" i="5"/>
  <c r="K10" i="5" s="1"/>
  <c r="N10" i="5" s="1"/>
  <c r="H10" i="5"/>
  <c r="J10" i="5" s="1"/>
  <c r="F10" i="5"/>
  <c r="A12" i="5"/>
  <c r="A12" i="4"/>
  <c r="A12" i="3"/>
  <c r="A13" i="2"/>
  <c r="L11" i="5"/>
  <c r="I11" i="5"/>
  <c r="D11" i="5"/>
  <c r="C11" i="5"/>
  <c r="B11" i="5"/>
  <c r="A13" i="5" l="1"/>
  <c r="A13" i="4"/>
  <c r="A13" i="3"/>
  <c r="A14" i="2"/>
  <c r="L12" i="5"/>
  <c r="I12" i="5"/>
  <c r="D12" i="5"/>
  <c r="C12" i="5"/>
  <c r="B12" i="5"/>
  <c r="E12" i="5" s="1"/>
  <c r="E11" i="5"/>
  <c r="M10" i="5"/>
  <c r="H11" i="5"/>
  <c r="J11" i="5" s="1"/>
  <c r="F11" i="5"/>
  <c r="N9" i="5"/>
  <c r="M9" i="5"/>
  <c r="G11" i="5" l="1"/>
  <c r="K11" i="5" s="1"/>
  <c r="H12" i="5"/>
  <c r="J12" i="5" s="1"/>
  <c r="F12" i="5"/>
  <c r="G12" i="5" s="1"/>
  <c r="K12" i="5" s="1"/>
  <c r="A14" i="5"/>
  <c r="A14" i="4"/>
  <c r="A14" i="3"/>
  <c r="A15" i="2"/>
  <c r="L13" i="5"/>
  <c r="I13" i="5"/>
  <c r="D13" i="5"/>
  <c r="C13" i="5"/>
  <c r="B13" i="5"/>
  <c r="E13" i="5" s="1"/>
  <c r="N12" i="5" l="1"/>
  <c r="M12" i="5"/>
  <c r="H13" i="5"/>
  <c r="J13" i="5" s="1"/>
  <c r="F13" i="5"/>
  <c r="G13" i="5" s="1"/>
  <c r="K13" i="5" s="1"/>
  <c r="A15" i="5"/>
  <c r="A15" i="4"/>
  <c r="A15" i="3"/>
  <c r="A16" i="2"/>
  <c r="L14" i="5"/>
  <c r="I14" i="5"/>
  <c r="D14" i="5"/>
  <c r="C14" i="5"/>
  <c r="B14" i="5"/>
  <c r="E14" i="5" s="1"/>
  <c r="N11" i="5"/>
  <c r="M11" i="5"/>
  <c r="N13" i="5" l="1"/>
  <c r="M13" i="5"/>
  <c r="H14" i="5"/>
  <c r="J14" i="5" s="1"/>
  <c r="F14" i="5"/>
  <c r="G14" i="5" s="1"/>
  <c r="K14" i="5" s="1"/>
  <c r="A16" i="5"/>
  <c r="A16" i="4"/>
  <c r="A16" i="3"/>
  <c r="A17" i="2"/>
  <c r="L15" i="5"/>
  <c r="I15" i="5"/>
  <c r="D15" i="5"/>
  <c r="C15" i="5"/>
  <c r="B15" i="5"/>
  <c r="E15" i="5" s="1"/>
  <c r="N14" i="5" l="1"/>
  <c r="M14" i="5"/>
  <c r="H15" i="5"/>
  <c r="J15" i="5" s="1"/>
  <c r="F15" i="5"/>
  <c r="G15" i="5" s="1"/>
  <c r="K15" i="5" s="1"/>
  <c r="A17" i="5"/>
  <c r="A17" i="4"/>
  <c r="A17" i="3"/>
  <c r="A18" i="2"/>
  <c r="L16" i="5"/>
  <c r="I16" i="5"/>
  <c r="D16" i="5"/>
  <c r="C16" i="5"/>
  <c r="B16" i="5"/>
  <c r="E16" i="5" s="1"/>
  <c r="N15" i="5" l="1"/>
  <c r="M15" i="5"/>
  <c r="H16" i="5"/>
  <c r="J16" i="5" s="1"/>
  <c r="F16" i="5"/>
  <c r="G16" i="5" s="1"/>
  <c r="K16" i="5" s="1"/>
  <c r="A18" i="5"/>
  <c r="A18" i="4"/>
  <c r="A18" i="3"/>
  <c r="A19" i="2"/>
  <c r="L17" i="5"/>
  <c r="I17" i="5"/>
  <c r="D17" i="5"/>
  <c r="C17" i="5"/>
  <c r="B17" i="5"/>
  <c r="E17" i="5" s="1"/>
  <c r="N16" i="5" l="1"/>
  <c r="M16" i="5"/>
  <c r="H17" i="5"/>
  <c r="J17" i="5" s="1"/>
  <c r="F17" i="5"/>
  <c r="G17" i="5" s="1"/>
  <c r="K17" i="5" s="1"/>
  <c r="A19" i="5"/>
  <c r="A19" i="4"/>
  <c r="A19" i="3"/>
  <c r="A20" i="2"/>
  <c r="L18" i="5"/>
  <c r="I18" i="5"/>
  <c r="D18" i="5"/>
  <c r="C18" i="5"/>
  <c r="B18" i="5"/>
  <c r="E18" i="5" s="1"/>
  <c r="N17" i="5" l="1"/>
  <c r="M17" i="5"/>
  <c r="H18" i="5"/>
  <c r="J18" i="5" s="1"/>
  <c r="F18" i="5"/>
  <c r="G18" i="5" s="1"/>
  <c r="K18" i="5" s="1"/>
  <c r="A20" i="5"/>
  <c r="A20" i="4"/>
  <c r="A20" i="3"/>
  <c r="A21" i="2"/>
  <c r="L19" i="5"/>
  <c r="I19" i="5"/>
  <c r="D19" i="5"/>
  <c r="C19" i="5"/>
  <c r="B19" i="5"/>
  <c r="E19" i="5" s="1"/>
  <c r="N18" i="5" l="1"/>
  <c r="M18" i="5"/>
  <c r="H19" i="5"/>
  <c r="J19" i="5" s="1"/>
  <c r="F19" i="5"/>
  <c r="G19" i="5" s="1"/>
  <c r="K19" i="5" s="1"/>
  <c r="A21" i="5"/>
  <c r="A21" i="4"/>
  <c r="A21" i="3"/>
  <c r="A22" i="2"/>
  <c r="L20" i="5"/>
  <c r="I20" i="5"/>
  <c r="D20" i="5"/>
  <c r="C20" i="5"/>
  <c r="B20" i="5"/>
  <c r="E20" i="5" s="1"/>
  <c r="N19" i="5" l="1"/>
  <c r="M19" i="5"/>
  <c r="H20" i="5"/>
  <c r="J20" i="5" s="1"/>
  <c r="F20" i="5"/>
  <c r="G20" i="5" s="1"/>
  <c r="K20" i="5" s="1"/>
  <c r="A22" i="5"/>
  <c r="A22" i="4"/>
  <c r="A22" i="3"/>
  <c r="A23" i="2"/>
  <c r="L21" i="5"/>
  <c r="I21" i="5"/>
  <c r="D21" i="5"/>
  <c r="C21" i="5"/>
  <c r="B21" i="5"/>
  <c r="E21" i="5" s="1"/>
  <c r="N20" i="5" l="1"/>
  <c r="M20" i="5"/>
  <c r="H21" i="5"/>
  <c r="J21" i="5" s="1"/>
  <c r="F21" i="5"/>
  <c r="G21" i="5" s="1"/>
  <c r="K21" i="5" s="1"/>
  <c r="A23" i="5"/>
  <c r="A23" i="4"/>
  <c r="A23" i="3"/>
  <c r="A24" i="2"/>
  <c r="L22" i="5"/>
  <c r="I22" i="5"/>
  <c r="D22" i="5"/>
  <c r="C22" i="5"/>
  <c r="B22" i="5"/>
  <c r="E22" i="5" s="1"/>
  <c r="N21" i="5" l="1"/>
  <c r="M21" i="5"/>
  <c r="H22" i="5"/>
  <c r="J22" i="5" s="1"/>
  <c r="F22" i="5"/>
  <c r="G22" i="5" s="1"/>
  <c r="K22" i="5" s="1"/>
  <c r="A24" i="5"/>
  <c r="A24" i="4"/>
  <c r="A24" i="3"/>
  <c r="A25" i="2"/>
  <c r="L23" i="5"/>
  <c r="I23" i="5"/>
  <c r="D23" i="5"/>
  <c r="C23" i="5"/>
  <c r="B23" i="5"/>
  <c r="E23" i="5" s="1"/>
  <c r="N22" i="5" l="1"/>
  <c r="M22" i="5"/>
  <c r="H23" i="5"/>
  <c r="J23" i="5" s="1"/>
  <c r="F23" i="5"/>
  <c r="G23" i="5" s="1"/>
  <c r="K23" i="5" s="1"/>
  <c r="A25" i="5"/>
  <c r="A25" i="4"/>
  <c r="A25" i="3"/>
  <c r="A26" i="2"/>
  <c r="L24" i="5"/>
  <c r="I24" i="5"/>
  <c r="D24" i="5"/>
  <c r="C24" i="5"/>
  <c r="B24" i="5"/>
  <c r="E24" i="5" s="1"/>
  <c r="N23" i="5" l="1"/>
  <c r="M23" i="5"/>
  <c r="H24" i="5"/>
  <c r="J24" i="5" s="1"/>
  <c r="F24" i="5"/>
  <c r="G24" i="5" s="1"/>
  <c r="K24" i="5" s="1"/>
  <c r="A26" i="5"/>
  <c r="A26" i="4"/>
  <c r="A26" i="3"/>
  <c r="A27" i="2"/>
  <c r="L25" i="5"/>
  <c r="I25" i="5"/>
  <c r="D25" i="5"/>
  <c r="C25" i="5"/>
  <c r="B25" i="5"/>
  <c r="E25" i="5" s="1"/>
  <c r="N24" i="5" l="1"/>
  <c r="M24" i="5"/>
  <c r="H25" i="5"/>
  <c r="J25" i="5" s="1"/>
  <c r="F25" i="5"/>
  <c r="G25" i="5" s="1"/>
  <c r="K25" i="5" s="1"/>
  <c r="A27" i="5"/>
  <c r="A27" i="4"/>
  <c r="A27" i="3"/>
  <c r="A28" i="2"/>
  <c r="L26" i="5"/>
  <c r="I26" i="5"/>
  <c r="D26" i="5"/>
  <c r="C26" i="5"/>
  <c r="B26" i="5"/>
  <c r="E26" i="5" s="1"/>
  <c r="N25" i="5" l="1"/>
  <c r="M25" i="5"/>
  <c r="H26" i="5"/>
  <c r="J26" i="5" s="1"/>
  <c r="F26" i="5"/>
  <c r="G26" i="5" s="1"/>
  <c r="K26" i="5" s="1"/>
  <c r="A28" i="5"/>
  <c r="A28" i="4"/>
  <c r="A28" i="3"/>
  <c r="A29" i="2"/>
  <c r="L27" i="5"/>
  <c r="I27" i="5"/>
  <c r="D27" i="5"/>
  <c r="C27" i="5"/>
  <c r="B27" i="5"/>
  <c r="E27" i="5" s="1"/>
  <c r="N26" i="5" l="1"/>
  <c r="M26" i="5"/>
  <c r="H27" i="5"/>
  <c r="J27" i="5" s="1"/>
  <c r="F27" i="5"/>
  <c r="G27" i="5" s="1"/>
  <c r="K27" i="5" s="1"/>
  <c r="A29" i="5"/>
  <c r="A29" i="4"/>
  <c r="A29" i="3"/>
  <c r="A30" i="2"/>
  <c r="L28" i="5"/>
  <c r="I28" i="5"/>
  <c r="D28" i="5"/>
  <c r="C28" i="5"/>
  <c r="B28" i="5"/>
  <c r="E28" i="5" s="1"/>
  <c r="N27" i="5" l="1"/>
  <c r="M27" i="5"/>
  <c r="H28" i="5"/>
  <c r="J28" i="5" s="1"/>
  <c r="F28" i="5"/>
  <c r="G28" i="5" s="1"/>
  <c r="K28" i="5" s="1"/>
  <c r="A30" i="5"/>
  <c r="A30" i="4"/>
  <c r="A30" i="3"/>
  <c r="A31" i="2"/>
  <c r="L29" i="5"/>
  <c r="I29" i="5"/>
  <c r="D29" i="5"/>
  <c r="C29" i="5"/>
  <c r="B29" i="5"/>
  <c r="E29" i="5" s="1"/>
  <c r="N28" i="5" l="1"/>
  <c r="M28" i="5"/>
  <c r="H29" i="5"/>
  <c r="J29" i="5" s="1"/>
  <c r="F29" i="5"/>
  <c r="G29" i="5" s="1"/>
  <c r="K29" i="5" s="1"/>
  <c r="A31" i="5"/>
  <c r="A31" i="4"/>
  <c r="A31" i="3"/>
  <c r="A32" i="2"/>
  <c r="L30" i="5"/>
  <c r="I30" i="5"/>
  <c r="D30" i="5"/>
  <c r="C30" i="5"/>
  <c r="B30" i="5"/>
  <c r="N29" i="5" l="1"/>
  <c r="M29" i="5"/>
  <c r="E30" i="5"/>
  <c r="H30" i="5"/>
  <c r="J30" i="5" s="1"/>
  <c r="F30" i="5"/>
  <c r="A32" i="5"/>
  <c r="A32" i="4"/>
  <c r="A32" i="3"/>
  <c r="A33" i="2"/>
  <c r="L31" i="5"/>
  <c r="I31" i="5"/>
  <c r="D31" i="5"/>
  <c r="C31" i="5"/>
  <c r="B31" i="5"/>
  <c r="E31" i="5" s="1"/>
  <c r="G30" i="5" l="1"/>
  <c r="K30" i="5" s="1"/>
  <c r="H31" i="5"/>
  <c r="J31" i="5" s="1"/>
  <c r="F31" i="5"/>
  <c r="G31" i="5" s="1"/>
  <c r="K31" i="5" s="1"/>
  <c r="A33" i="5"/>
  <c r="A33" i="4"/>
  <c r="A33" i="3"/>
  <c r="A34" i="2"/>
  <c r="L32" i="5"/>
  <c r="I32" i="5"/>
  <c r="D32" i="5"/>
  <c r="C32" i="5"/>
  <c r="B32" i="5"/>
  <c r="E32" i="5" s="1"/>
  <c r="N31" i="5" l="1"/>
  <c r="M31" i="5"/>
  <c r="A34" i="5"/>
  <c r="A34" i="4"/>
  <c r="A34" i="3"/>
  <c r="A35" i="2"/>
  <c r="L33" i="5"/>
  <c r="I33" i="5"/>
  <c r="D33" i="5"/>
  <c r="C33" i="5"/>
  <c r="B33" i="5"/>
  <c r="E33" i="5" s="1"/>
  <c r="H32" i="5"/>
  <c r="J32" i="5" s="1"/>
  <c r="F32" i="5"/>
  <c r="N30" i="5"/>
  <c r="M30" i="5"/>
  <c r="G32" i="5"/>
  <c r="A35" i="5" l="1"/>
  <c r="A35" i="4"/>
  <c r="A35" i="3"/>
  <c r="A36" i="2"/>
  <c r="L34" i="5"/>
  <c r="I34" i="5"/>
  <c r="D34" i="5"/>
  <c r="C34" i="5"/>
  <c r="B34" i="5"/>
  <c r="E34" i="5" s="1"/>
  <c r="H33" i="5"/>
  <c r="J33" i="5" s="1"/>
  <c r="F33" i="5"/>
  <c r="G33" i="5" s="1"/>
  <c r="K33" i="5" s="1"/>
  <c r="K32" i="5"/>
  <c r="N33" i="5" l="1"/>
  <c r="M33" i="5"/>
  <c r="N32" i="5"/>
  <c r="M32" i="5"/>
  <c r="H34" i="5"/>
  <c r="J34" i="5" s="1"/>
  <c r="F34" i="5"/>
  <c r="G34" i="5" s="1"/>
  <c r="K34" i="5" s="1"/>
  <c r="A36" i="5"/>
  <c r="A36" i="4"/>
  <c r="A36" i="3"/>
  <c r="A37" i="2"/>
  <c r="L35" i="5"/>
  <c r="I35" i="5"/>
  <c r="D35" i="5"/>
  <c r="C35" i="5"/>
  <c r="B35" i="5"/>
  <c r="E35" i="5" s="1"/>
  <c r="N34" i="5" l="1"/>
  <c r="M34" i="5"/>
  <c r="A37" i="5"/>
  <c r="A37" i="4"/>
  <c r="A37" i="3"/>
  <c r="A38" i="2"/>
  <c r="L36" i="5"/>
  <c r="I36" i="5"/>
  <c r="D36" i="5"/>
  <c r="C36" i="5"/>
  <c r="B36" i="5"/>
  <c r="E36" i="5" s="1"/>
  <c r="H35" i="5"/>
  <c r="J35" i="5" s="1"/>
  <c r="F35" i="5"/>
  <c r="G35" i="5"/>
  <c r="A38" i="5" l="1"/>
  <c r="A38" i="4"/>
  <c r="A38" i="3"/>
  <c r="A39" i="2"/>
  <c r="L37" i="5"/>
  <c r="I37" i="5"/>
  <c r="D37" i="5"/>
  <c r="C37" i="5"/>
  <c r="B37" i="5"/>
  <c r="E37" i="5" s="1"/>
  <c r="H36" i="5"/>
  <c r="J36" i="5" s="1"/>
  <c r="F36" i="5"/>
  <c r="G36" i="5" s="1"/>
  <c r="K36" i="5" s="1"/>
  <c r="K35" i="5"/>
  <c r="N36" i="5" l="1"/>
  <c r="M36" i="5"/>
  <c r="N35" i="5"/>
  <c r="M35" i="5"/>
  <c r="G37" i="5"/>
  <c r="K37" i="5" s="1"/>
  <c r="N37" i="5" s="1"/>
  <c r="H37" i="5"/>
  <c r="J37" i="5" s="1"/>
  <c r="F37" i="5"/>
  <c r="A39" i="5"/>
  <c r="A39" i="4"/>
  <c r="A39" i="3"/>
  <c r="A40" i="2"/>
  <c r="L38" i="5"/>
  <c r="I38" i="5"/>
  <c r="D38" i="5"/>
  <c r="C38" i="5"/>
  <c r="B38" i="5"/>
  <c r="E38" i="5" s="1"/>
  <c r="A40" i="5" l="1"/>
  <c r="A40" i="4"/>
  <c r="A40" i="3"/>
  <c r="A41" i="2"/>
  <c r="L39" i="5"/>
  <c r="I39" i="5"/>
  <c r="D39" i="5"/>
  <c r="C39" i="5"/>
  <c r="B39" i="5"/>
  <c r="E39" i="5" s="1"/>
  <c r="H38" i="5"/>
  <c r="J38" i="5" s="1"/>
  <c r="F38" i="5"/>
  <c r="G38" i="5" s="1"/>
  <c r="K38" i="5" s="1"/>
  <c r="M37" i="5"/>
  <c r="N38" i="5" l="1"/>
  <c r="M38" i="5"/>
  <c r="H39" i="5"/>
  <c r="J39" i="5" s="1"/>
  <c r="F39" i="5"/>
  <c r="G39" i="5" s="1"/>
  <c r="K39" i="5" s="1"/>
  <c r="A41" i="5"/>
  <c r="A41" i="4"/>
  <c r="A41" i="3"/>
  <c r="A42" i="2"/>
  <c r="L40" i="5"/>
  <c r="I40" i="5"/>
  <c r="D40" i="5"/>
  <c r="C40" i="5"/>
  <c r="B40" i="5"/>
  <c r="E40" i="5" s="1"/>
  <c r="N39" i="5" l="1"/>
  <c r="M39" i="5"/>
  <c r="H40" i="5"/>
  <c r="J40" i="5" s="1"/>
  <c r="F40" i="5"/>
  <c r="G40" i="5" s="1"/>
  <c r="K40" i="5" s="1"/>
  <c r="A42" i="5"/>
  <c r="A42" i="4"/>
  <c r="A42" i="3"/>
  <c r="A43" i="2"/>
  <c r="L41" i="5"/>
  <c r="I41" i="5"/>
  <c r="D41" i="5"/>
  <c r="C41" i="5"/>
  <c r="B41" i="5"/>
  <c r="E41" i="5" s="1"/>
  <c r="N40" i="5" l="1"/>
  <c r="M40" i="5"/>
  <c r="H41" i="5"/>
  <c r="J41" i="5" s="1"/>
  <c r="F41" i="5"/>
  <c r="G41" i="5" s="1"/>
  <c r="K41" i="5" s="1"/>
  <c r="A43" i="5"/>
  <c r="A43" i="4"/>
  <c r="A43" i="3"/>
  <c r="A44" i="2"/>
  <c r="L42" i="5"/>
  <c r="I42" i="5"/>
  <c r="D42" i="5"/>
  <c r="C42" i="5"/>
  <c r="B42" i="5"/>
  <c r="E42" i="5" s="1"/>
  <c r="N41" i="5" l="1"/>
  <c r="M41" i="5"/>
  <c r="H42" i="5"/>
  <c r="J42" i="5" s="1"/>
  <c r="F42" i="5"/>
  <c r="G42" i="5" s="1"/>
  <c r="K42" i="5" s="1"/>
  <c r="A44" i="5"/>
  <c r="A44" i="4"/>
  <c r="A44" i="3"/>
  <c r="A45" i="2"/>
  <c r="L43" i="5"/>
  <c r="I43" i="5"/>
  <c r="D43" i="5"/>
  <c r="C43" i="5"/>
  <c r="B43" i="5"/>
  <c r="E43" i="5" s="1"/>
  <c r="N42" i="5" l="1"/>
  <c r="M42" i="5"/>
  <c r="H43" i="5"/>
  <c r="J43" i="5" s="1"/>
  <c r="F43" i="5"/>
  <c r="G43" i="5" s="1"/>
  <c r="K43" i="5" s="1"/>
  <c r="A45" i="5"/>
  <c r="A45" i="4"/>
  <c r="A45" i="3"/>
  <c r="A46" i="2"/>
  <c r="L44" i="5"/>
  <c r="I44" i="5"/>
  <c r="D44" i="5"/>
  <c r="C44" i="5"/>
  <c r="B44" i="5"/>
  <c r="E44" i="5" s="1"/>
  <c r="N43" i="5" l="1"/>
  <c r="M43" i="5"/>
  <c r="H44" i="5"/>
  <c r="J44" i="5" s="1"/>
  <c r="F44" i="5"/>
  <c r="G44" i="5" s="1"/>
  <c r="K44" i="5" s="1"/>
  <c r="A46" i="5"/>
  <c r="A46" i="4"/>
  <c r="A46" i="3"/>
  <c r="A47" i="2"/>
  <c r="L45" i="5"/>
  <c r="I45" i="5"/>
  <c r="D45" i="5"/>
  <c r="C45" i="5"/>
  <c r="B45" i="5"/>
  <c r="E45" i="5" s="1"/>
  <c r="N44" i="5" l="1"/>
  <c r="M44" i="5"/>
  <c r="H45" i="5"/>
  <c r="J45" i="5" s="1"/>
  <c r="F45" i="5"/>
  <c r="G45" i="5" s="1"/>
  <c r="K45" i="5" s="1"/>
  <c r="A47" i="5"/>
  <c r="A47" i="4"/>
  <c r="A47" i="3"/>
  <c r="A48" i="2"/>
  <c r="L46" i="5"/>
  <c r="I46" i="5"/>
  <c r="D46" i="5"/>
  <c r="C46" i="5"/>
  <c r="B46" i="5"/>
  <c r="E46" i="5" s="1"/>
  <c r="N45" i="5" l="1"/>
  <c r="M45" i="5"/>
  <c r="H46" i="5"/>
  <c r="J46" i="5" s="1"/>
  <c r="F46" i="5"/>
  <c r="G46" i="5" s="1"/>
  <c r="K46" i="5" s="1"/>
  <c r="A48" i="5"/>
  <c r="A48" i="4"/>
  <c r="A48" i="3"/>
  <c r="A49" i="2"/>
  <c r="L47" i="5"/>
  <c r="I47" i="5"/>
  <c r="D47" i="5"/>
  <c r="C47" i="5"/>
  <c r="B47" i="5"/>
  <c r="E47" i="5" s="1"/>
  <c r="N46" i="5" l="1"/>
  <c r="M46" i="5"/>
  <c r="H47" i="5"/>
  <c r="J47" i="5" s="1"/>
  <c r="F47" i="5"/>
  <c r="G47" i="5" s="1"/>
  <c r="K47" i="5" s="1"/>
  <c r="A49" i="5"/>
  <c r="A49" i="4"/>
  <c r="A49" i="3"/>
  <c r="A50" i="2"/>
  <c r="L48" i="5"/>
  <c r="I48" i="5"/>
  <c r="D48" i="5"/>
  <c r="C48" i="5"/>
  <c r="B48" i="5"/>
  <c r="E48" i="5" s="1"/>
  <c r="N47" i="5" l="1"/>
  <c r="M47" i="5"/>
  <c r="H48" i="5"/>
  <c r="J48" i="5" s="1"/>
  <c r="F48" i="5"/>
  <c r="G48" i="5" s="1"/>
  <c r="K48" i="5" s="1"/>
  <c r="A50" i="5"/>
  <c r="A50" i="4"/>
  <c r="A50" i="3"/>
  <c r="A51" i="2"/>
  <c r="L49" i="5"/>
  <c r="I49" i="5"/>
  <c r="D49" i="5"/>
  <c r="C49" i="5"/>
  <c r="B49" i="5"/>
  <c r="E49" i="5" s="1"/>
  <c r="N48" i="5" l="1"/>
  <c r="M48" i="5"/>
  <c r="H49" i="5"/>
  <c r="J49" i="5" s="1"/>
  <c r="F49" i="5"/>
  <c r="G49" i="5" s="1"/>
  <c r="K49" i="5" s="1"/>
  <c r="A51" i="5"/>
  <c r="A51" i="4"/>
  <c r="A51" i="3"/>
  <c r="A52" i="2"/>
  <c r="L50" i="5"/>
  <c r="I50" i="5"/>
  <c r="D50" i="5"/>
  <c r="C50" i="5"/>
  <c r="B50" i="5"/>
  <c r="E50" i="5" s="1"/>
  <c r="N49" i="5" l="1"/>
  <c r="M49" i="5"/>
  <c r="H50" i="5"/>
  <c r="J50" i="5" s="1"/>
  <c r="F50" i="5"/>
  <c r="G50" i="5" s="1"/>
  <c r="K50" i="5" s="1"/>
  <c r="A52" i="5"/>
  <c r="A52" i="4"/>
  <c r="A52" i="3"/>
  <c r="A53" i="2"/>
  <c r="L51" i="5"/>
  <c r="I51" i="5"/>
  <c r="D51" i="5"/>
  <c r="C51" i="5"/>
  <c r="B51" i="5"/>
  <c r="E51" i="5" s="1"/>
  <c r="N50" i="5" l="1"/>
  <c r="M50" i="5"/>
  <c r="H51" i="5"/>
  <c r="J51" i="5" s="1"/>
  <c r="F51" i="5"/>
  <c r="G51" i="5" s="1"/>
  <c r="K51" i="5" s="1"/>
  <c r="A53" i="5"/>
  <c r="A53" i="4"/>
  <c r="A53" i="3"/>
  <c r="A54" i="2"/>
  <c r="L52" i="5"/>
  <c r="I52" i="5"/>
  <c r="D52" i="5"/>
  <c r="C52" i="5"/>
  <c r="B52" i="5"/>
  <c r="E52" i="5" s="1"/>
  <c r="N51" i="5" l="1"/>
  <c r="M51" i="5"/>
  <c r="H52" i="5"/>
  <c r="J52" i="5" s="1"/>
  <c r="F52" i="5"/>
  <c r="G52" i="5" s="1"/>
  <c r="K52" i="5" s="1"/>
  <c r="A54" i="5"/>
  <c r="A54" i="4"/>
  <c r="A54" i="3"/>
  <c r="A55" i="2"/>
  <c r="L53" i="5"/>
  <c r="I53" i="5"/>
  <c r="D53" i="5"/>
  <c r="C53" i="5"/>
  <c r="B53" i="5"/>
  <c r="E53" i="5" s="1"/>
  <c r="N52" i="5" l="1"/>
  <c r="M52" i="5"/>
  <c r="H53" i="5"/>
  <c r="J53" i="5" s="1"/>
  <c r="F53" i="5"/>
  <c r="G53" i="5" s="1"/>
  <c r="K53" i="5" s="1"/>
  <c r="A55" i="5"/>
  <c r="A55" i="4"/>
  <c r="A55" i="3"/>
  <c r="A56" i="2"/>
  <c r="L54" i="5"/>
  <c r="I54" i="5"/>
  <c r="D54" i="5"/>
  <c r="C54" i="5"/>
  <c r="B54" i="5"/>
  <c r="E54" i="5" s="1"/>
  <c r="N53" i="5" l="1"/>
  <c r="M53" i="5"/>
  <c r="H54" i="5"/>
  <c r="J54" i="5" s="1"/>
  <c r="F54" i="5"/>
  <c r="G54" i="5" s="1"/>
  <c r="K54" i="5" s="1"/>
  <c r="A56" i="5"/>
  <c r="A56" i="4"/>
  <c r="A56" i="3"/>
  <c r="A57" i="2"/>
  <c r="L55" i="5"/>
  <c r="I55" i="5"/>
  <c r="D55" i="5"/>
  <c r="C55" i="5"/>
  <c r="B55" i="5"/>
  <c r="E55" i="5" s="1"/>
  <c r="N54" i="5" l="1"/>
  <c r="M54" i="5"/>
  <c r="H55" i="5"/>
  <c r="J55" i="5" s="1"/>
  <c r="F55" i="5"/>
  <c r="G55" i="5" s="1"/>
  <c r="K55" i="5" s="1"/>
  <c r="A57" i="5"/>
  <c r="A57" i="4"/>
  <c r="A57" i="3"/>
  <c r="A58" i="2"/>
  <c r="L56" i="5"/>
  <c r="I56" i="5"/>
  <c r="D56" i="5"/>
  <c r="C56" i="5"/>
  <c r="B56" i="5"/>
  <c r="E56" i="5" s="1"/>
  <c r="N55" i="5" l="1"/>
  <c r="M55" i="5"/>
  <c r="H56" i="5"/>
  <c r="J56" i="5" s="1"/>
  <c r="F56" i="5"/>
  <c r="G56" i="5" s="1"/>
  <c r="K56" i="5" s="1"/>
  <c r="A58" i="5"/>
  <c r="A58" i="4"/>
  <c r="A58" i="3"/>
  <c r="A59" i="2"/>
  <c r="L57" i="5"/>
  <c r="I57" i="5"/>
  <c r="D57" i="5"/>
  <c r="C57" i="5"/>
  <c r="B57" i="5"/>
  <c r="E57" i="5" s="1"/>
  <c r="N56" i="5" l="1"/>
  <c r="M56" i="5"/>
  <c r="H57" i="5"/>
  <c r="J57" i="5" s="1"/>
  <c r="F57" i="5"/>
  <c r="G57" i="5" s="1"/>
  <c r="K57" i="5" s="1"/>
  <c r="A59" i="5"/>
  <c r="A59" i="4"/>
  <c r="A59" i="3"/>
  <c r="A60" i="2"/>
  <c r="L58" i="5"/>
  <c r="I58" i="5"/>
  <c r="D58" i="5"/>
  <c r="C58" i="5"/>
  <c r="B58" i="5"/>
  <c r="E58" i="5" s="1"/>
  <c r="N57" i="5" l="1"/>
  <c r="M57" i="5"/>
  <c r="H58" i="5"/>
  <c r="J58" i="5" s="1"/>
  <c r="F58" i="5"/>
  <c r="G58" i="5" s="1"/>
  <c r="K58" i="5" s="1"/>
  <c r="A60" i="5"/>
  <c r="A60" i="4"/>
  <c r="A60" i="3"/>
  <c r="A61" i="2"/>
  <c r="L59" i="5"/>
  <c r="I59" i="5"/>
  <c r="D59" i="5"/>
  <c r="C59" i="5"/>
  <c r="B59" i="5"/>
  <c r="E59" i="5" s="1"/>
  <c r="N58" i="5" l="1"/>
  <c r="M58" i="5"/>
  <c r="H59" i="5"/>
  <c r="J59" i="5" s="1"/>
  <c r="F59" i="5"/>
  <c r="G59" i="5" s="1"/>
  <c r="K59" i="5" s="1"/>
  <c r="A61" i="5"/>
  <c r="A61" i="4"/>
  <c r="A61" i="3"/>
  <c r="A62" i="2"/>
  <c r="L60" i="5"/>
  <c r="I60" i="5"/>
  <c r="D60" i="5"/>
  <c r="C60" i="5"/>
  <c r="B60" i="5"/>
  <c r="E60" i="5" s="1"/>
  <c r="N59" i="5" l="1"/>
  <c r="M59" i="5"/>
  <c r="H60" i="5"/>
  <c r="J60" i="5" s="1"/>
  <c r="F60" i="5"/>
  <c r="G60" i="5" s="1"/>
  <c r="K60" i="5" s="1"/>
  <c r="A62" i="5"/>
  <c r="A62" i="4"/>
  <c r="A62" i="3"/>
  <c r="A63" i="2"/>
  <c r="L61" i="5"/>
  <c r="I61" i="5"/>
  <c r="D61" i="5"/>
  <c r="C61" i="5"/>
  <c r="B61" i="5"/>
  <c r="E61" i="5" s="1"/>
  <c r="N60" i="5" l="1"/>
  <c r="M60" i="5"/>
  <c r="H61" i="5"/>
  <c r="J61" i="5" s="1"/>
  <c r="F61" i="5"/>
  <c r="G61" i="5" s="1"/>
  <c r="K61" i="5" s="1"/>
  <c r="A63" i="5"/>
  <c r="A63" i="4"/>
  <c r="A63" i="3"/>
  <c r="A64" i="2"/>
  <c r="L62" i="5"/>
  <c r="I62" i="5"/>
  <c r="D62" i="5"/>
  <c r="C62" i="5"/>
  <c r="B62" i="5"/>
  <c r="E62" i="5" s="1"/>
  <c r="N61" i="5" l="1"/>
  <c r="M61" i="5"/>
  <c r="H62" i="5"/>
  <c r="J62" i="5" s="1"/>
  <c r="F62" i="5"/>
  <c r="G62" i="5" s="1"/>
  <c r="K62" i="5" s="1"/>
  <c r="A64" i="5"/>
  <c r="A64" i="4"/>
  <c r="A64" i="3"/>
  <c r="A65" i="2"/>
  <c r="L63" i="5"/>
  <c r="I63" i="5"/>
  <c r="D63" i="5"/>
  <c r="C63" i="5"/>
  <c r="B63" i="5"/>
  <c r="E63" i="5" s="1"/>
  <c r="N62" i="5" l="1"/>
  <c r="M62" i="5"/>
  <c r="H63" i="5"/>
  <c r="J63" i="5" s="1"/>
  <c r="F63" i="5"/>
  <c r="G63" i="5" s="1"/>
  <c r="K63" i="5" s="1"/>
  <c r="A65" i="5"/>
  <c r="A65" i="4"/>
  <c r="A65" i="3"/>
  <c r="A66" i="2"/>
  <c r="L64" i="5"/>
  <c r="I64" i="5"/>
  <c r="D64" i="5"/>
  <c r="C64" i="5"/>
  <c r="B64" i="5"/>
  <c r="N63" i="5" l="1"/>
  <c r="M63" i="5"/>
  <c r="H64" i="5"/>
  <c r="J64" i="5" s="1"/>
  <c r="F64" i="5"/>
  <c r="E64" i="5"/>
  <c r="A66" i="5"/>
  <c r="A66" i="4"/>
  <c r="A66" i="3"/>
  <c r="A67" i="2"/>
  <c r="L65" i="5"/>
  <c r="I65" i="5"/>
  <c r="D65" i="5"/>
  <c r="C65" i="5"/>
  <c r="B65" i="5"/>
  <c r="E65" i="5" l="1"/>
  <c r="G64" i="5"/>
  <c r="K64" i="5" s="1"/>
  <c r="H65" i="5"/>
  <c r="J65" i="5" s="1"/>
  <c r="F65" i="5"/>
  <c r="A67" i="5"/>
  <c r="A67" i="4"/>
  <c r="A67" i="3"/>
  <c r="A68" i="2"/>
  <c r="L66" i="5"/>
  <c r="I66" i="5"/>
  <c r="D66" i="5"/>
  <c r="C66" i="5"/>
  <c r="B66" i="5"/>
  <c r="E66" i="5" s="1"/>
  <c r="H66" i="5" l="1"/>
  <c r="J66" i="5" s="1"/>
  <c r="F66" i="5"/>
  <c r="L67" i="5"/>
  <c r="I67" i="5"/>
  <c r="D67" i="5"/>
  <c r="C67" i="5"/>
  <c r="B67" i="5"/>
  <c r="A68" i="5"/>
  <c r="A68" i="4"/>
  <c r="A68" i="3"/>
  <c r="A69" i="2"/>
  <c r="N64" i="5"/>
  <c r="M64" i="5"/>
  <c r="G66" i="5"/>
  <c r="K66" i="5" s="1"/>
  <c r="N66" i="5" s="1"/>
  <c r="M66" i="5"/>
  <c r="G65" i="5"/>
  <c r="K65" i="5" s="1"/>
  <c r="H67" i="5" l="1"/>
  <c r="J67" i="5" s="1"/>
  <c r="F67" i="5"/>
  <c r="A69" i="5"/>
  <c r="A69" i="4"/>
  <c r="A69" i="3"/>
  <c r="A70" i="2"/>
  <c r="L68" i="5"/>
  <c r="I68" i="5"/>
  <c r="D68" i="5"/>
  <c r="C68" i="5"/>
  <c r="B68" i="5"/>
  <c r="E68" i="5" s="1"/>
  <c r="N65" i="5"/>
  <c r="M65" i="5"/>
  <c r="E67" i="5"/>
  <c r="G67" i="5" s="1"/>
  <c r="K67" i="5" s="1"/>
  <c r="N67" i="5" s="1"/>
  <c r="H68" i="5" l="1"/>
  <c r="J68" i="5" s="1"/>
  <c r="F68" i="5"/>
  <c r="G68" i="5" s="1"/>
  <c r="K68" i="5" s="1"/>
  <c r="A70" i="5"/>
  <c r="A70" i="4"/>
  <c r="A70" i="3"/>
  <c r="A71" i="2"/>
  <c r="L69" i="5"/>
  <c r="I69" i="5"/>
  <c r="D69" i="5"/>
  <c r="C69" i="5"/>
  <c r="B69" i="5"/>
  <c r="M67" i="5"/>
  <c r="N68" i="5" l="1"/>
  <c r="M68" i="5"/>
  <c r="H69" i="5"/>
  <c r="J69" i="5" s="1"/>
  <c r="F69" i="5"/>
  <c r="A71" i="5"/>
  <c r="A71" i="4"/>
  <c r="A71" i="3"/>
  <c r="A72" i="2"/>
  <c r="L70" i="5"/>
  <c r="I70" i="5"/>
  <c r="D70" i="5"/>
  <c r="C70" i="5"/>
  <c r="B70" i="5"/>
  <c r="E70" i="5" s="1"/>
  <c r="E69" i="5"/>
  <c r="G69" i="5" s="1"/>
  <c r="K69" i="5" s="1"/>
  <c r="N69" i="5" s="1"/>
  <c r="A72" i="5" l="1"/>
  <c r="A72" i="4"/>
  <c r="A72" i="3"/>
  <c r="A73" i="2"/>
  <c r="L71" i="5"/>
  <c r="I71" i="5"/>
  <c r="D71" i="5"/>
  <c r="C71" i="5"/>
  <c r="B71" i="5"/>
  <c r="E71" i="5" s="1"/>
  <c r="M69" i="5"/>
  <c r="H70" i="5"/>
  <c r="J70" i="5" s="1"/>
  <c r="F70" i="5"/>
  <c r="G70" i="5" s="1"/>
  <c r="K70" i="5" s="1"/>
  <c r="N70" i="5" l="1"/>
  <c r="M70" i="5"/>
  <c r="H71" i="5"/>
  <c r="J71" i="5" s="1"/>
  <c r="F71" i="5"/>
  <c r="G71" i="5" s="1"/>
  <c r="K71" i="5" s="1"/>
  <c r="A73" i="5"/>
  <c r="A73" i="4"/>
  <c r="A73" i="3"/>
  <c r="A74" i="2"/>
  <c r="L72" i="5"/>
  <c r="I72" i="5"/>
  <c r="D72" i="5"/>
  <c r="C72" i="5"/>
  <c r="B72" i="5"/>
  <c r="E72" i="5" s="1"/>
  <c r="N71" i="5" l="1"/>
  <c r="M71" i="5"/>
  <c r="G72" i="5"/>
  <c r="K72" i="5" s="1"/>
  <c r="N72" i="5" s="1"/>
  <c r="H72" i="5"/>
  <c r="J72" i="5" s="1"/>
  <c r="F72" i="5"/>
  <c r="A74" i="5"/>
  <c r="A74" i="4"/>
  <c r="A74" i="3"/>
  <c r="A75" i="2"/>
  <c r="L73" i="5"/>
  <c r="I73" i="5"/>
  <c r="D73" i="5"/>
  <c r="C73" i="5"/>
  <c r="B73" i="5"/>
  <c r="E73" i="5" s="1"/>
  <c r="M72" i="5" l="1"/>
  <c r="L74" i="5"/>
  <c r="I74" i="5"/>
  <c r="D74" i="5"/>
  <c r="C74" i="5"/>
  <c r="B74" i="5"/>
  <c r="E74" i="5" s="1"/>
  <c r="A75" i="5"/>
  <c r="A75" i="4"/>
  <c r="A75" i="3"/>
  <c r="A76" i="2"/>
  <c r="H73" i="5"/>
  <c r="J73" i="5" s="1"/>
  <c r="F73" i="5"/>
  <c r="G73" i="5" s="1"/>
  <c r="K73" i="5" s="1"/>
  <c r="N73" i="5" l="1"/>
  <c r="M73" i="5"/>
  <c r="G74" i="5"/>
  <c r="A76" i="5"/>
  <c r="A76" i="4"/>
  <c r="A76" i="3"/>
  <c r="A77" i="2"/>
  <c r="H74" i="5"/>
  <c r="J74" i="5" s="1"/>
  <c r="F74" i="5"/>
  <c r="L75" i="5"/>
  <c r="I75" i="5"/>
  <c r="D75" i="5"/>
  <c r="C75" i="5"/>
  <c r="B75" i="5"/>
  <c r="E75" i="5" s="1"/>
  <c r="L76" i="5" l="1"/>
  <c r="I76" i="5"/>
  <c r="D76" i="5"/>
  <c r="C76" i="5"/>
  <c r="B76" i="5"/>
  <c r="E76" i="5" s="1"/>
  <c r="G75" i="5"/>
  <c r="K75" i="5" s="1"/>
  <c r="N75" i="5" s="1"/>
  <c r="A77" i="5"/>
  <c r="A77" i="4"/>
  <c r="A77" i="3"/>
  <c r="A78" i="2"/>
  <c r="K74" i="5"/>
  <c r="H75" i="5"/>
  <c r="J75" i="5" s="1"/>
  <c r="F75" i="5"/>
  <c r="H76" i="5" l="1"/>
  <c r="J76" i="5" s="1"/>
  <c r="F76" i="5"/>
  <c r="A78" i="5"/>
  <c r="A78" i="4"/>
  <c r="A78" i="3"/>
  <c r="A79" i="2"/>
  <c r="N74" i="5"/>
  <c r="M74" i="5"/>
  <c r="L77" i="5"/>
  <c r="I77" i="5"/>
  <c r="D77" i="5"/>
  <c r="C77" i="5"/>
  <c r="B77" i="5"/>
  <c r="E77" i="5" s="1"/>
  <c r="G76" i="5"/>
  <c r="K76" i="5" s="1"/>
  <c r="N76" i="5" s="1"/>
  <c r="M75" i="5"/>
  <c r="H77" i="5" l="1"/>
  <c r="J77" i="5" s="1"/>
  <c r="F77" i="5"/>
  <c r="M76" i="5"/>
  <c r="L78" i="5"/>
  <c r="I78" i="5"/>
  <c r="D78" i="5"/>
  <c r="C78" i="5"/>
  <c r="B78" i="5"/>
  <c r="G77" i="5"/>
  <c r="K77" i="5" s="1"/>
  <c r="N77" i="5" s="1"/>
  <c r="A79" i="5"/>
  <c r="A79" i="4"/>
  <c r="A79" i="3"/>
  <c r="A80" i="2"/>
  <c r="M77" i="5"/>
  <c r="L79" i="5" l="1"/>
  <c r="I79" i="5"/>
  <c r="D79" i="5"/>
  <c r="C79" i="5"/>
  <c r="B79" i="5"/>
  <c r="E79" i="5" s="1"/>
  <c r="H78" i="5"/>
  <c r="J78" i="5" s="1"/>
  <c r="F78" i="5"/>
  <c r="E78" i="5"/>
  <c r="A80" i="5"/>
  <c r="A80" i="4"/>
  <c r="A80" i="3"/>
  <c r="A81" i="2"/>
  <c r="H79" i="5" l="1"/>
  <c r="J79" i="5" s="1"/>
  <c r="F79" i="5"/>
  <c r="L80" i="5"/>
  <c r="I80" i="5"/>
  <c r="D80" i="5"/>
  <c r="C80" i="5"/>
  <c r="B80" i="5"/>
  <c r="E80" i="5" s="1"/>
  <c r="G79" i="5"/>
  <c r="K79" i="5" s="1"/>
  <c r="N79" i="5" s="1"/>
  <c r="A81" i="5"/>
  <c r="A81" i="4"/>
  <c r="A81" i="3"/>
  <c r="A82" i="2"/>
  <c r="G78" i="5"/>
  <c r="K78" i="5" s="1"/>
  <c r="N78" i="5" l="1"/>
  <c r="M78" i="5"/>
  <c r="L81" i="5"/>
  <c r="I81" i="5"/>
  <c r="D81" i="5"/>
  <c r="C81" i="5"/>
  <c r="B81" i="5"/>
  <c r="E81" i="5" s="1"/>
  <c r="A82" i="5"/>
  <c r="A82" i="4"/>
  <c r="A82" i="3"/>
  <c r="A83" i="2"/>
  <c r="M79" i="5"/>
  <c r="H80" i="5"/>
  <c r="J80" i="5" s="1"/>
  <c r="F80" i="5"/>
  <c r="G80" i="5" s="1"/>
  <c r="K80" i="5" s="1"/>
  <c r="N80" i="5" l="1"/>
  <c r="M80" i="5"/>
  <c r="H81" i="5"/>
  <c r="J81" i="5" s="1"/>
  <c r="F81" i="5"/>
  <c r="G81" i="5" s="1"/>
  <c r="K81" i="5" s="1"/>
  <c r="A83" i="5"/>
  <c r="A83" i="4"/>
  <c r="A83" i="3"/>
  <c r="A84" i="2"/>
  <c r="L82" i="5"/>
  <c r="I82" i="5"/>
  <c r="D82" i="5"/>
  <c r="C82" i="5"/>
  <c r="B82" i="5"/>
  <c r="E82" i="5" s="1"/>
  <c r="N81" i="5" l="1"/>
  <c r="M81" i="5"/>
  <c r="L83" i="5"/>
  <c r="I83" i="5"/>
  <c r="D83" i="5"/>
  <c r="C83" i="5"/>
  <c r="B83" i="5"/>
  <c r="A84" i="5"/>
  <c r="A84" i="4"/>
  <c r="A84" i="3"/>
  <c r="A85" i="2"/>
  <c r="H82" i="5"/>
  <c r="J82" i="5" s="1"/>
  <c r="F82" i="5"/>
  <c r="G82" i="5" s="1"/>
  <c r="K82" i="5" s="1"/>
  <c r="N82" i="5" l="1"/>
  <c r="M82" i="5"/>
  <c r="H83" i="5"/>
  <c r="J83" i="5" s="1"/>
  <c r="F83" i="5"/>
  <c r="E83" i="5"/>
  <c r="G83" i="5" s="1"/>
  <c r="L84" i="5"/>
  <c r="I84" i="5"/>
  <c r="D84" i="5"/>
  <c r="C84" i="5"/>
  <c r="B84" i="5"/>
  <c r="E84" i="5" s="1"/>
  <c r="A85" i="5"/>
  <c r="A85" i="4"/>
  <c r="A85" i="3"/>
  <c r="A86" i="2"/>
  <c r="L85" i="5" l="1"/>
  <c r="I85" i="5"/>
  <c r="D85" i="5"/>
  <c r="C85" i="5"/>
  <c r="B85" i="5"/>
  <c r="A86" i="5"/>
  <c r="A86" i="4"/>
  <c r="A86" i="3"/>
  <c r="A87" i="2"/>
  <c r="K83" i="5"/>
  <c r="H84" i="5"/>
  <c r="J84" i="5" s="1"/>
  <c r="F84" i="5"/>
  <c r="G84" i="5" s="1"/>
  <c r="K84" i="5" s="1"/>
  <c r="N84" i="5" l="1"/>
  <c r="M84" i="5"/>
  <c r="A87" i="5"/>
  <c r="A87" i="4"/>
  <c r="A87" i="3"/>
  <c r="A88" i="2"/>
  <c r="H85" i="5"/>
  <c r="J85" i="5" s="1"/>
  <c r="F85" i="5"/>
  <c r="N83" i="5"/>
  <c r="M83" i="5"/>
  <c r="L86" i="5"/>
  <c r="I86" i="5"/>
  <c r="D86" i="5"/>
  <c r="C86" i="5"/>
  <c r="B86" i="5"/>
  <c r="E85" i="5"/>
  <c r="L87" i="5" l="1"/>
  <c r="I87" i="5"/>
  <c r="D87" i="5"/>
  <c r="C87" i="5"/>
  <c r="B87" i="5"/>
  <c r="H86" i="5"/>
  <c r="J86" i="5" s="1"/>
  <c r="F86" i="5"/>
  <c r="G85" i="5"/>
  <c r="K85" i="5" s="1"/>
  <c r="E86" i="5"/>
  <c r="G86" i="5" s="1"/>
  <c r="K86" i="5" s="1"/>
  <c r="N86" i="5" s="1"/>
  <c r="A88" i="5"/>
  <c r="A88" i="4"/>
  <c r="A88" i="3"/>
  <c r="A89" i="2"/>
  <c r="E87" i="5" l="1"/>
  <c r="A89" i="5"/>
  <c r="A89" i="4"/>
  <c r="A89" i="3"/>
  <c r="M86" i="5"/>
  <c r="N85" i="5"/>
  <c r="M85" i="5"/>
  <c r="H87" i="5"/>
  <c r="J87" i="5" s="1"/>
  <c r="F87" i="5"/>
  <c r="L88" i="5"/>
  <c r="I88" i="5"/>
  <c r="D88" i="5"/>
  <c r="C88" i="5"/>
  <c r="B88" i="5"/>
  <c r="B2" i="9" a="1"/>
  <c r="B2" i="9" s="1"/>
  <c r="L89" i="5" l="1"/>
  <c r="I89" i="5"/>
  <c r="D89" i="5"/>
  <c r="C89" i="5"/>
  <c r="B89" i="5"/>
  <c r="E88" i="5"/>
  <c r="H88" i="5"/>
  <c r="J88" i="5" s="1"/>
  <c r="F88" i="5"/>
  <c r="G87" i="5"/>
  <c r="K87" i="5" s="1"/>
  <c r="N87" i="5" l="1"/>
  <c r="M87" i="5"/>
  <c r="G88" i="5"/>
  <c r="K88" i="5" s="1"/>
  <c r="E89" i="5"/>
  <c r="G89" i="5" s="1"/>
  <c r="K89" i="5" s="1"/>
  <c r="H89" i="5"/>
  <c r="J89" i="5" s="1"/>
  <c r="F89" i="5"/>
  <c r="B4" i="9"/>
  <c r="N89" i="5" l="1"/>
  <c r="B3" i="9"/>
  <c r="B8" i="9" s="1"/>
  <c r="I3" i="9"/>
  <c r="N88" i="5"/>
  <c r="M88" i="5"/>
  <c r="M89" i="5"/>
  <c r="B9" i="9" l="1"/>
  <c r="H3" i="9"/>
  <c r="E22" i="9"/>
  <c r="E21" i="9"/>
  <c r="E20" i="9"/>
  <c r="E19" i="9"/>
  <c r="E18" i="9"/>
  <c r="E17" i="9"/>
  <c r="E16" i="9"/>
  <c r="E15" i="9"/>
  <c r="E14" i="9"/>
  <c r="G6" i="9"/>
  <c r="F6" i="9"/>
  <c r="E6" i="9"/>
  <c r="B6" i="9"/>
  <c r="B7" i="9" s="1"/>
  <c r="G8" i="9" l="1"/>
  <c r="G7" i="9"/>
  <c r="E8" i="9" a="1"/>
  <c r="E8" i="9" s="1"/>
  <c r="E7" i="9"/>
  <c r="F8" i="9"/>
  <c r="F7" i="9"/>
</calcChain>
</file>

<file path=xl/sharedStrings.xml><?xml version="1.0" encoding="utf-8"?>
<sst xmlns="http://schemas.openxmlformats.org/spreadsheetml/2006/main" count="141" uniqueCount="100">
  <si>
    <t>Naspers Ltd – Integrated Holding Company &amp; SOTP Framework</t>
  </si>
  <si>
    <t>Time Horizon: FY2020-FY2025</t>
  </si>
  <si>
    <t>Objective:</t>
  </si>
  <si>
    <t>To evaluate intrinsic value, structural discount persistence, and capital allocation discipline using a look-through NAV and SOTP framework.</t>
  </si>
  <si>
    <t>Structural Note — Prosus Intermediary</t>
  </si>
  <si>
    <t>Since the 2019 Prosus restructuring, Naspers does not hold Tencent directly. Naspers holds ~57% of Prosus N.V. (listed Amsterdam), which holds ~24% of Tencent (as of 2025). The effective economic interest (Naspers % × Prosus Tencent %) is captured in the ownership % column in tbl_nav_components. Pre-2019 figures reflect a more direct structure. This model uses the effective interest approach consistently across the time series.</t>
  </si>
  <si>
    <t>tbl_naspers_price</t>
  </si>
  <si>
    <t>Date</t>
  </si>
  <si>
    <t>Share Price (ZAR)</t>
  </si>
  <si>
    <t>Shares Outstanding (B)</t>
  </si>
  <si>
    <t>Market Cap (ZAR B)</t>
  </si>
  <si>
    <t>tbl_tencent_market</t>
  </si>
  <si>
    <t>Tencent Price (HKD)</t>
  </si>
  <si>
    <t>Market Cap (HKD B)</t>
  </si>
  <si>
    <t>tbl_fx_rates</t>
  </si>
  <si>
    <t>HKD_ZAR</t>
  </si>
  <si>
    <t>USD_ZAR</t>
  </si>
  <si>
    <t>calc_lookthrough_nav</t>
  </si>
  <si>
    <t>TCE_MktCap_HKD_B</t>
  </si>
  <si>
    <t>Fiscal_Year</t>
  </si>
  <si>
    <t>TCE_MktCap_ZAR_B</t>
  </si>
  <si>
    <t>Ownership_%</t>
  </si>
  <si>
    <t>Naspers_TCE_Value_ZAR_B</t>
  </si>
  <si>
    <t>Net_debt_USD_B</t>
  </si>
  <si>
    <t>Net_Debt_ZAR_B</t>
  </si>
  <si>
    <t>NAV_ZAR_B</t>
  </si>
  <si>
    <t>Naspers_MktCap_ZAR_B</t>
  </si>
  <si>
    <t>NAV_Discount_%</t>
  </si>
  <si>
    <t>Discount_ZAR_B</t>
  </si>
  <si>
    <t>tbl_shares_outstanding</t>
  </si>
  <si>
    <t>Notes</t>
  </si>
  <si>
    <t>Naspers N-shares outstanding (millions). Naspers has conducted significant share buybacks since 2021 via the cross-holding unwind with Prosus. Share count used in per-share NAV calculation sourced from latest published results. For the valuation dashboard, implied share price = (NAV × (1 - discount)) / shares.</t>
  </si>
  <si>
    <t>Fiscal Year</t>
  </si>
  <si>
    <t>Shares Outstanding (millions)</t>
  </si>
  <si>
    <t>Source</t>
  </si>
  <si>
    <t>FY2019 Annual Report</t>
  </si>
  <si>
    <t>FY2020 Annual Report</t>
  </si>
  <si>
    <t>FY2021 Annual Report — post buyback</t>
  </si>
  <si>
    <t>FY2022 Annual Report — continued buyback programme</t>
  </si>
  <si>
    <t>FY2023 Annual Report</t>
  </si>
  <si>
    <t>FY2024 Annual Report</t>
  </si>
  <si>
    <t>FY2025 est. — based on latest disclosed count</t>
  </si>
  <si>
    <t>Note: Shares outstanding are in millions. These figures reflect Naspers N-shares (the primary JSE-listed class). Buyback impact is material — share count has declined ~31% from 2019 to 2025, which is NAV-accretive on a per-share basis even if aggregate NAV is flat.</t>
  </si>
  <si>
    <t>tbl_ownership</t>
  </si>
  <si>
    <t>tbl_netdebt</t>
  </si>
  <si>
    <t>tbl_assumptions_core</t>
  </si>
  <si>
    <t>Active_Scenario</t>
  </si>
  <si>
    <t>Base</t>
  </si>
  <si>
    <t>Assumption</t>
  </si>
  <si>
    <t>Bull</t>
  </si>
  <si>
    <t>Bear</t>
  </si>
  <si>
    <t>Active_Value</t>
  </si>
  <si>
    <t>Unit</t>
  </si>
  <si>
    <t>Target_Holding_Discount_%</t>
  </si>
  <si>
    <t>%</t>
  </si>
  <si>
    <t>Discount applied to NAV</t>
  </si>
  <si>
    <t>Tencent_Value_Shock_%</t>
  </si>
  <si>
    <t>Shock to Tencent HKD market cap</t>
  </si>
  <si>
    <t>HKD_ZAR_Shock_%</t>
  </si>
  <si>
    <t>FX stress</t>
  </si>
  <si>
    <t>Corporate_NetDebt_Shock_USD_B</t>
  </si>
  <si>
    <t>USD B</t>
  </si>
  <si>
    <t>Negative = more net cash</t>
  </si>
  <si>
    <t>Structural Note</t>
  </si>
  <si>
    <t>Ownership % assumption represents Naspers effective economic interest in Tencent (via Prosus). This is NOT a direct holding post-2019. Bull case assumes no further dilution. Bear case should incorporate risk of further ownership reduction through Prosus restructuring.</t>
  </si>
  <si>
    <t>Latest Date</t>
  </si>
  <si>
    <t>Scenario Comparison</t>
  </si>
  <si>
    <t>Current_Discount</t>
  </si>
  <si>
    <t>Current_Share_Price</t>
  </si>
  <si>
    <t>Latest NAV (ZAR B)</t>
  </si>
  <si>
    <t>Latest Market Cap (ZAR B)</t>
  </si>
  <si>
    <t>Metric</t>
  </si>
  <si>
    <t>Target Holding Discount (%)</t>
  </si>
  <si>
    <t>Target Discount (%)</t>
  </si>
  <si>
    <t>Scenario Implied Market Cap (ZAR B)</t>
  </si>
  <si>
    <t>Implied Market Cap (ZAR B)</t>
  </si>
  <si>
    <t>Scenario Upside (%)</t>
  </si>
  <si>
    <t>Upside (%)</t>
  </si>
  <si>
    <t>Current NAV Discount (%)</t>
  </si>
  <si>
    <t>Implied Share Price</t>
  </si>
  <si>
    <t>Discount Gap (Current - Target)</t>
  </si>
  <si>
    <t>Holding Discount Sensitivity</t>
  </si>
  <si>
    <t>Discount (%)</t>
  </si>
  <si>
    <t>Investment Takeaway</t>
  </si>
  <si>
    <t>• Current discount: 65.7%</t>
  </si>
  <si>
    <t>• Target discount: 50%</t>
  </si>
  <si>
    <t>• Discount gap: 15.7%</t>
  </si>
  <si>
    <t>• Implied upside to target: 45.7%</t>
  </si>
  <si>
    <t>Data Currency Note</t>
  </si>
  <si>
    <t>Price series ends March 2025. Latest discount (65.7%) and NAV figures reflect March 2025 data. To update: extend tbl_price_history, tbl_tencent_market, and tbl_fx_rates with monthly data through the most recent month-end. All calc_lookthrough_nav calculations will update automatically via the existing formulas. Target update frequency: monthly.</t>
  </si>
  <si>
    <t>Per-Share Price Methodology</t>
  </si>
  <si>
    <t>Implied Share Price = (NAV_ZAR_B × (1 - Target_Discount)) / Shares_Outstanding_B
Share count used: ~1.48B shares (FY2025 est.). See tbl_shares_outstanding for full history.
Note: Naspers N-share count has declined materially due to the Prosus cross-holding buyback programme — this is per-share NAV accretive. The buyback effect is not modelled dynamically here but is captured in the declining share count by fiscal year.</t>
  </si>
  <si>
    <t>Look-Through NAV Valuation Model – Naspers</t>
  </si>
  <si>
    <t>Objective</t>
  </si>
  <si>
    <t>Estimate intrinsic equity value using look-through NAV and discount scenarios.</t>
  </si>
  <si>
    <t>Methodology</t>
  </si>
  <si>
    <t>Tencent market cap (HKD)</t>
  </si>
  <si>
    <t>FX conversion to ZAR</t>
  </si>
  <si>
    <t>Ownership %</t>
  </si>
  <si>
    <t xml:space="preserve">  ↳ Ownership % = Effective economic interest in Tencent (indirect, via Prosus)
     Structure: Naspers (~57% of Prosus) → Prosus (~24% of Tencent as of 2025)
     This model applies the blended effective interest directly to Tencent market cap
     (i.e., 0.57 × 0.24 ≈ 13.7% effective in 2025, declining from 31% direct in 2018–2020)
     Note: Pre-2019 Naspers held Tencent directly. Post-2019 Prosus restructuring introduced
     the holding company layer. Ownership % in tbl_nav_components reflects blended effective interest.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</si>
</sst>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Aptos Narrow"/>
    </font>
    <font>
      <b/>
      <sz val="14"/>
      <color rgb="FF000000"/>
      <name val="Aptos Narrow"/>
    </font>
    <font>
      <b/>
      <sz val="14"/>
      <color theme="1"/>
      <name val="Calibri"/>
      <family val="2"/>
      <scheme val="minor"/>
    </font>
    <font>
      <b/>
      <sz val="11"/>
      <color theme="1"/>
      <name val="Aptos Narrow"/>
    </font>
    <font>
      <b/>
      <sz val="14"/>
      <color theme="1"/>
      <name val="Aptos Display"/>
    </font>
    <font>
      <b/>
      <sz val="14"/>
      <color theme="1"/>
      <name val="Aptos Narrow"/>
    </font>
    <font>
      <b/>
      <sz val="16"/>
      <color theme="1"/>
      <name val="Aptos Narrow"/>
    </font>
    <font>
      <b/>
      <sz val="11"/>
      <color rgb="FF000000"/>
      <name val="Aptos Narrow"/>
    </font>
    <font>
      <b/>
      <sz val="12"/>
      <color theme="1"/>
      <name val="Aptos Narrow"/>
    </font>
    <font>
      <i/>
      <sz val="11"/>
      <color rgb="FF595959"/>
      <name val="Calibri"/>
    </font>
    <font>
      <b/>
      <sz val="11"/>
      <name val="Calibri"/>
    </font>
    <font>
      <i/>
      <sz val="11"/>
      <name val="Calibri"/>
    </font>
    <font>
      <b/>
      <sz val="11"/>
      <color rgb="FF8B4513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2" fontId="1" fillId="0" borderId="0" xfId="0" applyNumberFormat="1" applyFont="1"/>
    <xf numFmtId="15" fontId="1" fillId="0" borderId="0" xfId="0" applyNumberFormat="1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7" fillId="0" borderId="0" xfId="0" applyFont="1"/>
    <xf numFmtId="0" fontId="6" fillId="2" borderId="0" xfId="0" applyFont="1" applyFill="1"/>
    <xf numFmtId="0" fontId="8" fillId="2" borderId="0" xfId="0" applyFont="1" applyFill="1"/>
    <xf numFmtId="2" fontId="1" fillId="0" borderId="0" xfId="0" applyNumberFormat="1" applyFont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wrapText="1"/>
    </xf>
    <xf numFmtId="10" fontId="1" fillId="0" borderId="0" xfId="0" applyNumberFormat="1" applyFont="1" applyAlignment="1">
      <alignment wrapText="1"/>
    </xf>
    <xf numFmtId="10" fontId="1" fillId="0" borderId="0" xfId="0" applyNumberFormat="1" applyFont="1"/>
    <xf numFmtId="0" fontId="5" fillId="3" borderId="0" xfId="0" applyFont="1" applyFill="1" applyAlignment="1">
      <alignment wrapText="1"/>
    </xf>
    <xf numFmtId="0" fontId="9" fillId="0" borderId="0" xfId="0" applyFont="1"/>
    <xf numFmtId="0" fontId="5" fillId="3" borderId="0" xfId="0" applyFont="1" applyFill="1"/>
    <xf numFmtId="0" fontId="0" fillId="0" borderId="0" xfId="0"/>
    <xf numFmtId="14" fontId="1" fillId="0" borderId="0" xfId="0" applyNumberFormat="1" applyFont="1" applyAlignment="1">
      <alignment wrapText="1"/>
    </xf>
    <xf numFmtId="9" fontId="1" fillId="0" borderId="0" xfId="0" applyNumberFormat="1" applyFont="1"/>
    <xf numFmtId="0" fontId="8" fillId="0" borderId="0" xfId="0" applyFont="1" applyAlignment="1">
      <alignment wrapText="1"/>
    </xf>
    <xf numFmtId="0" fontId="10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/>
    <xf numFmtId="0" fontId="11" fillId="0" borderId="0" xfId="0" applyFont="1" applyAlignment="1">
      <alignment wrapText="1"/>
    </xf>
  </cellXfs>
  <cellStyles count="1">
    <cellStyle name="Normal" xfId="0" builtinId="0"/>
  </cellStyles>
  <dxfs count="45">
    <dxf>
      <font>
        <name val="Aptos Narrow"/>
      </font>
    </dxf>
    <dxf>
      <font>
        <name val="Aptos Narrow"/>
      </font>
    </dxf>
    <dxf>
      <font>
        <name val="Aptos Narrow"/>
      </font>
      <numFmt numFmtId="0" formatCode="General"/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</font>
      <fill>
        <patternFill patternType="solid">
          <fgColor indexed="64"/>
          <bgColor theme="0" tint="-0.14999847407452621"/>
        </patternFill>
      </fill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  <numFmt numFmtId="2" formatCode="0.00"/>
    </dxf>
    <dxf>
      <font>
        <name val="Aptos Narrow"/>
      </font>
      <numFmt numFmtId="2" formatCode="0.00"/>
    </dxf>
    <dxf>
      <font>
        <name val="Aptos Narrow"/>
      </font>
      <numFmt numFmtId="2" formatCode="0.00"/>
    </dxf>
    <dxf>
      <font>
        <name val="Aptos Narrow"/>
      </font>
      <numFmt numFmtId="2" formatCode="0.00"/>
    </dxf>
    <dxf>
      <font>
        <name val="Aptos Narrow"/>
      </font>
      <numFmt numFmtId="2" formatCode="0.00"/>
    </dxf>
    <dxf>
      <font>
        <name val="Aptos Narrow"/>
      </font>
    </dxf>
    <dxf>
      <font>
        <name val="Aptos Narrow"/>
      </font>
    </dxf>
    <dxf>
      <font>
        <name val="Aptos Narrow"/>
      </font>
      <numFmt numFmtId="2" formatCode="0.00"/>
    </dxf>
    <dxf>
      <font>
        <name val="Aptos Narrow"/>
      </font>
      <numFmt numFmtId="2" formatCode="0.00"/>
      <alignment horizontal="general" vertical="bottom" wrapText="1"/>
    </dxf>
    <dxf>
      <font>
        <name val="Aptos Narrow"/>
      </font>
      <numFmt numFmtId="2" formatCode="0.00"/>
    </dxf>
    <dxf>
      <font>
        <name val="Aptos Narrow"/>
      </font>
    </dxf>
    <dxf>
      <font>
        <name val="Aptos Narrow"/>
      </font>
      <alignment horizontal="general" vertical="bottom" wrapText="1"/>
    </dxf>
    <dxf>
      <font>
        <name val="Aptos Narrow"/>
      </font>
      <numFmt numFmtId="2" formatCode="0.00"/>
      <alignment horizontal="general" vertical="bottom" wrapText="1"/>
    </dxf>
    <dxf>
      <font>
        <name val="Aptos Narrow"/>
      </font>
      <numFmt numFmtId="20" formatCode="dd\-mmm\-yy"/>
    </dxf>
    <dxf>
      <font>
        <name val="Aptos Narrow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</font>
      <fill>
        <patternFill patternType="solid">
          <fgColor indexed="64"/>
          <bgColor theme="0" tint="-0.14999847407452621"/>
        </patternFill>
      </fill>
    </dxf>
    <dxf>
      <numFmt numFmtId="20" formatCode="dd\-mmm\-yy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</font>
      <fill>
        <patternFill patternType="solid">
          <fgColor indexed="64"/>
          <bgColor theme="0" tint="-4.9989318521683403E-2"/>
        </patternFill>
      </fill>
    </dxf>
    <dxf>
      <font>
        <name val="Aptos Narrow"/>
      </font>
      <numFmt numFmtId="2" formatCode="0.00"/>
    </dxf>
    <dxf>
      <font>
        <name val="Aptos Narrow"/>
      </font>
    </dxf>
    <dxf>
      <font>
        <name val="Aptos Narrow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</font>
      <numFmt numFmtId="20" formatCode="dd\-mmm\-yy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Display"/>
      </font>
      <fill>
        <patternFill patternType="solid">
          <fgColor indexed="64"/>
          <bgColor theme="0" tint="-4.9989318521683403E-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</font>
      <numFmt numFmtId="2" formatCode="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</font>
      <numFmt numFmtId="20" formatCode="dd\-mmm\-yy"/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vs Holding Discount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Valuation_Dashboard!$E$13</c:f>
              <c:strCache>
                <c:ptCount val="1"/>
                <c:pt idx="0">
                  <c:v>Implied Share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Valuation_Dashboard!D14:D22</c:f>
              <c:numCache>
                <c:formatCode>0%</c:formatCode>
                <c:ptCount val="9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</c:numCache>
            </c:numRef>
          </c:xVal>
          <c:yVal>
            <c:numRef>
              <c:f>Valuation_Dashboard!$E$14:$E$22</c:f>
              <c:numCache>
                <c:formatCode>0.00</c:formatCode>
                <c:ptCount val="9"/>
                <c:pt idx="0">
                  <c:v>1842.4561820225319</c:v>
                </c:pt>
                <c:pt idx="1">
                  <c:v>1710.8521690209227</c:v>
                </c:pt>
                <c:pt idx="2">
                  <c:v>1579.2481560193132</c:v>
                </c:pt>
                <c:pt idx="3">
                  <c:v>1447.6441430177038</c:v>
                </c:pt>
                <c:pt idx="4">
                  <c:v>1316.0401300160943</c:v>
                </c:pt>
                <c:pt idx="5">
                  <c:v>1184.4361170144848</c:v>
                </c:pt>
                <c:pt idx="6">
                  <c:v>1052.8321040128756</c:v>
                </c:pt>
                <c:pt idx="7">
                  <c:v>921.22809101126597</c:v>
                </c:pt>
                <c:pt idx="8">
                  <c:v>789.62407800965673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76-484A-8066-BF0E0CE5027E}"/>
            </c:ext>
          </c:extLst>
        </c:ser>
        <c:ser>
          <c:idx val="1"/>
          <c:order val="1"/>
          <c:tx>
            <c:strRef>
              <c:f>{"Current Price (842 ZAR)"}</c:f>
              <c:strCache>
                <c:ptCount val="1"/>
                <c:pt idx="0">
                  <c:v>Current Price (842 ZAR)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Valuation_Dashboard!H3</c:f>
              <c:numCache>
                <c:formatCode>0.00%</c:formatCode>
                <c:ptCount val="1"/>
                <c:pt idx="0">
                  <c:v>0.65671259584274599</c:v>
                </c:pt>
              </c:numCache>
            </c:numRef>
          </c:xVal>
          <c:yVal>
            <c:numRef>
              <c:f>Valuation_Dashboard!I3</c:f>
              <c:numCache>
                <c:formatCode>0.00</c:formatCode>
                <c:ptCount val="1"/>
                <c:pt idx="0">
                  <c:v>842.11792000000003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76-484A-8066-BF0E0CE5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522248"/>
        <c:axId val="1958960648"/>
      </c:scatterChart>
      <c:valAx>
        <c:axId val="1904522248"/>
        <c:scaling>
          <c:orientation val="minMax"/>
          <c:max val="0.7"/>
          <c:min val="0.3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960648"/>
        <c:crosses val="autoZero"/>
        <c:crossBetween val="midCat"/>
      </c:valAx>
      <c:valAx>
        <c:axId val="195896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222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0</xdr:rowOff>
    </xdr:from>
    <xdr:to>
      <xdr:col>7</xdr:col>
      <xdr:colOff>1076325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naspers_price_data" displayName="tbl_naspers_price_data" ref="A5:D89" totalsRowShown="0" headerRowDxfId="44">
  <autoFilter ref="A5:D89" xr:uid="{00000000-0009-0000-0100-000001000000}"/>
  <tableColumns count="4">
    <tableColumn id="1" xr3:uid="{00000000-0010-0000-0000-000001000000}" name="Date" dataDxfId="43">
      <calculatedColumnFormula>EOMONTH(A5,1)</calculatedColumnFormula>
    </tableColumn>
    <tableColumn id="2" xr3:uid="{00000000-0010-0000-0000-000002000000}" name="Share Price (ZAR)" dataDxfId="42"/>
    <tableColumn id="3" xr3:uid="{00000000-0010-0000-0000-000003000000}" name="Shares Outstanding (B)" dataDxfId="41"/>
    <tableColumn id="4" xr3:uid="{00000000-0010-0000-0000-000004000000}" name="Market Cap (ZAR B)" dataDxfId="40">
      <calculatedColumnFormula>B6*C6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tencent_market_data" displayName="tbl_tencent_market_data" ref="A5:D89" totalsRowShown="0" headerRowDxfId="39">
  <autoFilter ref="A5:D89" xr:uid="{00000000-0009-0000-0100-000002000000}"/>
  <tableColumns count="4">
    <tableColumn id="1" xr3:uid="{00000000-0010-0000-0100-000001000000}" name="Date" dataDxfId="38">
      <calculatedColumnFormula>tbl_price_history!A6</calculatedColumnFormula>
    </tableColumn>
    <tableColumn id="2" xr3:uid="{00000000-0010-0000-0100-000002000000}" name="Tencent Price (HKD)" dataDxfId="37"/>
    <tableColumn id="3" xr3:uid="{00000000-0010-0000-0100-000003000000}" name="Shares Outstanding (B)" dataDxfId="36"/>
    <tableColumn id="4" xr3:uid="{00000000-0010-0000-0100-000004000000}" name="Market Cap (HKD B)" dataDxfId="35">
      <calculatedColumnFormula>B6*C6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fx_rates_data" displayName="tbl_fx_rates_data" ref="A5:C89" totalsRowShown="0" headerRowDxfId="34">
  <autoFilter ref="A5:C89" xr:uid="{00000000-0009-0000-0100-000003000000}"/>
  <tableColumns count="3">
    <tableColumn id="1" xr3:uid="{00000000-0010-0000-0200-000001000000}" name="Date" dataDxfId="33">
      <calculatedColumnFormula>tbl_price_history!A6</calculatedColumnFormula>
    </tableColumn>
    <tableColumn id="2" xr3:uid="{00000000-0010-0000-0200-000002000000}" name="HKD_ZAR"/>
    <tableColumn id="3" xr3:uid="{00000000-0010-0000-0200-000003000000}" name="USD_ZAR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5:N89" totalsRowShown="0" headerRowDxfId="32" dataDxfId="31">
  <autoFilter ref="A5:N89" xr:uid="{00000000-0009-0000-0100-000004000000}"/>
  <tableColumns count="14">
    <tableColumn id="1" xr3:uid="{00000000-0010-0000-0300-000001000000}" name="Date" dataDxfId="30">
      <calculatedColumnFormula>tbl_price_history!A6</calculatedColumnFormula>
    </tableColumn>
    <tableColumn id="2" xr3:uid="{00000000-0010-0000-0300-000002000000}" name="TCE_MktCap_HKD_B" dataDxfId="29">
      <calculatedColumnFormula>_xlfn.XLOOKUP(A6,tbl_tencent_market_data[Date],tbl_tencent_market_data[Market Cap (HKD B)])</calculatedColumnFormula>
    </tableColumn>
    <tableColumn id="3" xr3:uid="{00000000-0010-0000-0300-000003000000}" name="HKD_ZAR" dataDxfId="28">
      <calculatedColumnFormula>_xlfn.XLOOKUP(A6,tbl_fx_rates_data[Date],tbl_fx_rates_data[HKD_ZAR])</calculatedColumnFormula>
    </tableColumn>
    <tableColumn id="4" xr3:uid="{00000000-0010-0000-0300-000004000000}" name="Fiscal_Year" dataDxfId="27">
      <calculatedColumnFormula>YEAR(EDATE(A6,9))</calculatedColumnFormula>
    </tableColumn>
    <tableColumn id="5" xr3:uid="{00000000-0010-0000-0300-000005000000}" name="TCE_MktCap_ZAR_B" dataDxfId="26">
      <calculatedColumnFormula>B6*C6</calculatedColumnFormula>
    </tableColumn>
    <tableColumn id="6" xr3:uid="{00000000-0010-0000-0300-000006000000}" name="Ownership_%" dataDxfId="25">
      <calculatedColumnFormula>_xlfn.XLOOKUP(D6,tbl_ownership[Fiscal_Year],tbl_ownership[Ownership_%])</calculatedColumnFormula>
    </tableColumn>
    <tableColumn id="7" xr3:uid="{00000000-0010-0000-0300-000007000000}" name="Naspers_TCE_Value_ZAR_B" dataDxfId="24">
      <calculatedColumnFormula>E6*F6</calculatedColumnFormula>
    </tableColumn>
    <tableColumn id="8" xr3:uid="{00000000-0010-0000-0300-000008000000}" name="Net_debt_USD_B" dataDxfId="23">
      <calculatedColumnFormula>_xlfn.XLOOKUP(D6,tbl_netdebt[Fiscal_Year],tbl_netdebt[Net_debt_USD_B],0)</calculatedColumnFormula>
    </tableColumn>
    <tableColumn id="9" xr3:uid="{00000000-0010-0000-0300-000009000000}" name="USD_ZAR" dataDxfId="22">
      <calculatedColumnFormula>_xlfn.XLOOKUP(A6,tbl_fx_rates_data[Date],tbl_fx_rates_data[USD_ZAR])</calculatedColumnFormula>
    </tableColumn>
    <tableColumn id="10" xr3:uid="{00000000-0010-0000-0300-00000A000000}" name="Net_Debt_ZAR_B" dataDxfId="21">
      <calculatedColumnFormula>H6*I6</calculatedColumnFormula>
    </tableColumn>
    <tableColumn id="11" xr3:uid="{00000000-0010-0000-0300-00000B000000}" name="NAV_ZAR_B" dataDxfId="20">
      <calculatedColumnFormula>G6-J6</calculatedColumnFormula>
    </tableColumn>
    <tableColumn id="12" xr3:uid="{00000000-0010-0000-0300-00000C000000}" name="Naspers_MktCap_ZAR_B" dataDxfId="19">
      <calculatedColumnFormula>_xlfn.XLOOKUP(Table6[[#This Row],[Date]],tbl_naspers_price_data[Date],tbl_naspers_price_data[Market Cap (ZAR B)])</calculatedColumnFormula>
    </tableColumn>
    <tableColumn id="13" xr3:uid="{00000000-0010-0000-0300-00000D000000}" name="NAV_Discount_%" dataDxfId="18">
      <calculatedColumnFormula>1-(L6/K6)</calculatedColumnFormula>
    </tableColumn>
    <tableColumn id="14" xr3:uid="{00000000-0010-0000-0300-00000E000000}" name="Discount_ZAR_B" dataDxfId="17">
      <calculatedColumnFormula>K6-L6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ownership" displayName="tbl_ownership" ref="A5:B12" totalsRowShown="0" headerRowDxfId="16" dataDxfId="15">
  <autoFilter ref="A5:B12" xr:uid="{00000000-0009-0000-0100-000005000000}"/>
  <tableColumns count="2">
    <tableColumn id="1" xr3:uid="{00000000-0010-0000-0400-000001000000}" name="Fiscal_Year" dataDxfId="14"/>
    <tableColumn id="2" xr3:uid="{00000000-0010-0000-0400-000002000000}" name="Ownership_%" dataDxfId="1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netdebt" displayName="tbl_netdebt" ref="A16:B23" totalsRowShown="0" headerRowDxfId="12" dataDxfId="11">
  <autoFilter ref="A16:B23" xr:uid="{00000000-0009-0000-0100-000006000000}"/>
  <tableColumns count="2">
    <tableColumn id="1" xr3:uid="{00000000-0010-0000-0500-000001000000}" name="Fiscal_Year" dataDxfId="10"/>
    <tableColumn id="2" xr3:uid="{00000000-0010-0000-0500-000002000000}" name="Net_debt_USD_B" dataDxfId="9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5:G9" totalsRowShown="0" headerRowDxfId="8" dataDxfId="7">
  <autoFilter ref="A5:G9" xr:uid="{00000000-0009-0000-0100-000007000000}"/>
  <tableColumns count="7">
    <tableColumn id="1" xr3:uid="{00000000-0010-0000-0600-000001000000}" name="Assumption" dataDxfId="6"/>
    <tableColumn id="2" xr3:uid="{00000000-0010-0000-0600-000002000000}" name="Base" dataDxfId="5"/>
    <tableColumn id="3" xr3:uid="{00000000-0010-0000-0600-000003000000}" name="Bull" dataDxfId="4"/>
    <tableColumn id="4" xr3:uid="{00000000-0010-0000-0600-000004000000}" name="Bear" dataDxfId="3"/>
    <tableColumn id="7" xr3:uid="{00000000-0010-0000-0600-000007000000}" name="Active_Value" dataDxfId="2">
      <calculatedColumnFormula>IF($J$4="Bull",Table7[[#This Row],[Bull]],IF($J$4="Bear",Table7[[#This Row],[Bear]],Table7[[#This Row],[Base]]))</calculatedColumnFormula>
    </tableColumn>
    <tableColumn id="5" xr3:uid="{00000000-0010-0000-0600-000005000000}" name="Unit" dataDxfId="1"/>
    <tableColumn id="6" xr3:uid="{00000000-0010-0000-0600-000006000000}" name="Not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1"/>
  <sheetViews>
    <sheetView workbookViewId="0">
      <selection activeCell="A12" sqref="A12"/>
    </sheetView>
  </sheetViews>
  <sheetFormatPr defaultRowHeight="15"/>
  <cols>
    <col min="1" max="1" width="36.5703125" style="22" bestFit="1" customWidth="1"/>
  </cols>
  <sheetData>
    <row r="3" spans="1:1" ht="29.25" customHeight="1">
      <c r="A3" s="19" t="s">
        <v>0</v>
      </c>
    </row>
    <row r="4" spans="1:1">
      <c r="A4" s="2" t="s">
        <v>1</v>
      </c>
    </row>
    <row r="6" spans="1:1">
      <c r="A6" s="20" t="s">
        <v>2</v>
      </c>
    </row>
    <row r="8" spans="1:1" ht="57.75" customHeight="1">
      <c r="A8" s="1" t="s">
        <v>3</v>
      </c>
    </row>
    <row r="10" spans="1:1">
      <c r="A10" s="27" t="s">
        <v>4</v>
      </c>
    </row>
    <row r="11" spans="1:1" ht="183">
      <c r="A11" s="2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workbookViewId="0">
      <selection activeCell="A7" sqref="A7"/>
    </sheetView>
  </sheetViews>
  <sheetFormatPr defaultRowHeight="15"/>
  <cols>
    <col min="1" max="1" width="16.42578125" style="22" bestFit="1" customWidth="1"/>
    <col min="2" max="2" width="22.85546875" style="22" bestFit="1" customWidth="1"/>
    <col min="3" max="3" width="29.28515625" style="22" bestFit="1" customWidth="1"/>
    <col min="4" max="4" width="25.42578125" style="22" bestFit="1" customWidth="1"/>
  </cols>
  <sheetData>
    <row r="1" spans="1:4">
      <c r="A1" s="3"/>
    </row>
    <row r="3" spans="1:4">
      <c r="A3" s="10" t="s">
        <v>6</v>
      </c>
    </row>
    <row r="5" spans="1:4" ht="18.75" customHeight="1">
      <c r="A5" s="8" t="s">
        <v>7</v>
      </c>
      <c r="B5" s="9" t="s">
        <v>8</v>
      </c>
      <c r="C5" s="9" t="s">
        <v>9</v>
      </c>
      <c r="D5" s="9" t="s">
        <v>10</v>
      </c>
    </row>
    <row r="6" spans="1:4">
      <c r="A6" s="5">
        <v>43220</v>
      </c>
      <c r="B6" s="3">
        <v>384.62</v>
      </c>
      <c r="C6" s="6">
        <v>2.14</v>
      </c>
      <c r="D6" s="6">
        <f>B6*C6</f>
        <v>823.08680000000004</v>
      </c>
    </row>
    <row r="7" spans="1:4">
      <c r="A7" s="7">
        <f>EOMONTH(A6,1)</f>
        <v>43251</v>
      </c>
      <c r="B7" s="3">
        <v>380.41</v>
      </c>
      <c r="C7" s="6">
        <v>2.14</v>
      </c>
      <c r="D7" s="6">
        <f>B7*C7</f>
        <v>814.07740000000013</v>
      </c>
    </row>
    <row r="8" spans="1:4">
      <c r="A8" s="7">
        <f>EOMONTH(A7,1)</f>
        <v>43281</v>
      </c>
      <c r="B8" s="3">
        <v>438.12</v>
      </c>
      <c r="C8" s="6">
        <v>2.14</v>
      </c>
      <c r="D8" s="6">
        <f>B8*C8</f>
        <v>937.57680000000005</v>
      </c>
    </row>
    <row r="9" spans="1:4">
      <c r="A9" s="7">
        <f>EOMONTH(A8,1)</f>
        <v>43312</v>
      </c>
      <c r="B9" s="3">
        <v>407.57</v>
      </c>
      <c r="C9" s="6">
        <v>2.14</v>
      </c>
      <c r="D9" s="6">
        <f>B9*C9</f>
        <v>872.19979999999998</v>
      </c>
    </row>
    <row r="10" spans="1:4">
      <c r="A10" s="7">
        <f>EOMONTH(A9,1)</f>
        <v>43343</v>
      </c>
      <c r="B10" s="3">
        <v>410.56</v>
      </c>
      <c r="C10" s="6">
        <v>2.14</v>
      </c>
      <c r="D10" s="6">
        <f>B10*C10</f>
        <v>878.59840000000008</v>
      </c>
    </row>
    <row r="11" spans="1:4">
      <c r="A11" s="7">
        <f>EOMONTH(A10,1)</f>
        <v>43373</v>
      </c>
      <c r="B11" s="3">
        <v>383.64</v>
      </c>
      <c r="C11" s="6">
        <v>2.14</v>
      </c>
      <c r="D11" s="6">
        <f>B11*C11</f>
        <v>820.9896</v>
      </c>
    </row>
    <row r="12" spans="1:4">
      <c r="A12" s="7">
        <f>EOMONTH(A11,1)</f>
        <v>43404</v>
      </c>
      <c r="B12" s="3">
        <v>325.95</v>
      </c>
      <c r="C12" s="6">
        <v>2.14</v>
      </c>
      <c r="D12" s="6">
        <f>B12*C12</f>
        <v>697.53300000000002</v>
      </c>
    </row>
    <row r="13" spans="1:4">
      <c r="A13" s="7">
        <f>EOMONTH(A12,1)</f>
        <v>43434</v>
      </c>
      <c r="B13" s="3">
        <v>347.36</v>
      </c>
      <c r="C13" s="6">
        <v>2.14</v>
      </c>
      <c r="D13" s="6">
        <f>B13*C13</f>
        <v>743.35040000000004</v>
      </c>
    </row>
    <row r="14" spans="1:4">
      <c r="A14" s="7">
        <f>EOMONTH(A13,1)</f>
        <v>43465</v>
      </c>
      <c r="B14" s="3">
        <v>363.61</v>
      </c>
      <c r="C14" s="6">
        <v>2.14</v>
      </c>
      <c r="D14" s="6">
        <f>B14*C14</f>
        <v>778.12540000000013</v>
      </c>
    </row>
    <row r="15" spans="1:4">
      <c r="A15" s="7">
        <f>EOMONTH(A14,1)</f>
        <v>43496</v>
      </c>
      <c r="B15" s="3">
        <v>382.19</v>
      </c>
      <c r="C15" s="6">
        <v>2.14</v>
      </c>
      <c r="D15" s="6">
        <f>B15*C15</f>
        <v>817.88660000000004</v>
      </c>
    </row>
    <row r="16" spans="1:4">
      <c r="A16" s="7">
        <f>EOMONTH(A15,1)</f>
        <v>43524</v>
      </c>
      <c r="B16" s="3">
        <v>394.87</v>
      </c>
      <c r="C16" s="6">
        <v>2.14</v>
      </c>
      <c r="D16" s="6">
        <f>B16*C16</f>
        <v>845.0218000000001</v>
      </c>
    </row>
    <row r="17" spans="1:4">
      <c r="A17" s="7">
        <f>EOMONTH(A16,1)</f>
        <v>43555</v>
      </c>
      <c r="B17" s="3">
        <v>432.05</v>
      </c>
      <c r="C17" s="6">
        <v>2.14</v>
      </c>
      <c r="D17" s="6">
        <f>B17*C17</f>
        <v>924.5870000000001</v>
      </c>
    </row>
    <row r="18" spans="1:4">
      <c r="A18" s="7">
        <f>EOMONTH(A17,1)</f>
        <v>43585</v>
      </c>
      <c r="B18" s="3">
        <v>473.92</v>
      </c>
      <c r="C18" s="6">
        <v>2.14</v>
      </c>
      <c r="D18" s="6">
        <f>B18*C18</f>
        <v>1014.1888000000001</v>
      </c>
    </row>
    <row r="19" spans="1:4">
      <c r="A19" s="7">
        <f>EOMONTH(A18,1)</f>
        <v>43616</v>
      </c>
      <c r="B19" s="3">
        <v>424.72</v>
      </c>
      <c r="C19" s="6">
        <v>2.14</v>
      </c>
      <c r="D19" s="6">
        <f>B19*C19</f>
        <v>908.90080000000012</v>
      </c>
    </row>
    <row r="20" spans="1:4">
      <c r="A20" s="7">
        <f>EOMONTH(A19,1)</f>
        <v>43646</v>
      </c>
      <c r="B20" s="3">
        <v>443.38</v>
      </c>
      <c r="C20" s="6">
        <v>2.14</v>
      </c>
      <c r="D20" s="6">
        <f>B20*C20</f>
        <v>948.83320000000003</v>
      </c>
    </row>
    <row r="21" spans="1:4">
      <c r="A21" s="7">
        <f>EOMONTH(A20,1)</f>
        <v>43677</v>
      </c>
      <c r="B21" s="3">
        <v>454.77</v>
      </c>
      <c r="C21" s="6">
        <v>2.14</v>
      </c>
      <c r="D21" s="6">
        <f>B21*C21</f>
        <v>973.20780000000002</v>
      </c>
    </row>
    <row r="22" spans="1:4">
      <c r="A22" s="7">
        <f>EOMONTH(A21,1)</f>
        <v>43708</v>
      </c>
      <c r="B22" s="3">
        <v>447.82</v>
      </c>
      <c r="C22" s="6">
        <v>2.14</v>
      </c>
      <c r="D22" s="6">
        <f>B22*C22</f>
        <v>958.33480000000009</v>
      </c>
    </row>
    <row r="23" spans="1:4">
      <c r="A23" s="7">
        <f>EOMONTH(A22,1)</f>
        <v>43738</v>
      </c>
      <c r="B23" s="3">
        <v>458.92</v>
      </c>
      <c r="C23" s="6">
        <v>2.14</v>
      </c>
      <c r="D23" s="6">
        <f>B23*C23</f>
        <v>982.08880000000011</v>
      </c>
    </row>
    <row r="24" spans="1:4">
      <c r="A24" s="7">
        <f>EOMONTH(A23,1)</f>
        <v>43769</v>
      </c>
      <c r="B24" s="3">
        <v>429.05</v>
      </c>
      <c r="C24" s="6">
        <v>2.14</v>
      </c>
      <c r="D24" s="6">
        <f>B24*C24</f>
        <v>918.16700000000003</v>
      </c>
    </row>
    <row r="25" spans="1:4">
      <c r="A25" s="7">
        <f>EOMONTH(A24,1)</f>
        <v>43799</v>
      </c>
      <c r="B25" s="3">
        <v>418.9</v>
      </c>
      <c r="C25" s="6">
        <v>2.14</v>
      </c>
      <c r="D25" s="6">
        <f>B25*C25</f>
        <v>896.44600000000003</v>
      </c>
    </row>
    <row r="26" spans="1:4">
      <c r="A26" s="7">
        <f>EOMONTH(A25,1)</f>
        <v>43830</v>
      </c>
      <c r="B26" s="3">
        <v>458.08</v>
      </c>
      <c r="C26" s="6">
        <v>2.14</v>
      </c>
      <c r="D26" s="6">
        <f>B26*C26</f>
        <v>980.2912</v>
      </c>
    </row>
    <row r="27" spans="1:4">
      <c r="A27" s="7">
        <f>EOMONTH(A26,1)</f>
        <v>43861</v>
      </c>
      <c r="B27" s="3">
        <v>492.06</v>
      </c>
      <c r="C27" s="6">
        <v>2.14</v>
      </c>
      <c r="D27" s="6">
        <f>B27*C27</f>
        <v>1053.0084000000002</v>
      </c>
    </row>
    <row r="28" spans="1:4">
      <c r="A28" s="7">
        <f>EOMONTH(A27,1)</f>
        <v>43890</v>
      </c>
      <c r="B28" s="3">
        <v>476.1</v>
      </c>
      <c r="C28" s="6">
        <v>2.14</v>
      </c>
      <c r="D28" s="6">
        <f>B28*C28</f>
        <v>1018.8540000000002</v>
      </c>
    </row>
    <row r="29" spans="1:4">
      <c r="A29" s="7">
        <f>EOMONTH(A28,1)</f>
        <v>43921</v>
      </c>
      <c r="B29" s="3">
        <v>510.65</v>
      </c>
      <c r="C29" s="6">
        <v>2.14</v>
      </c>
      <c r="D29" s="6">
        <f>B29*C29</f>
        <v>1092.7909999999999</v>
      </c>
    </row>
    <row r="30" spans="1:4">
      <c r="A30" s="7">
        <f>EOMONTH(A29,1)</f>
        <v>43951</v>
      </c>
      <c r="B30" s="3">
        <v>579.66999999999996</v>
      </c>
      <c r="C30" s="6">
        <v>2.14</v>
      </c>
      <c r="D30" s="6">
        <f>B30*C30</f>
        <v>1240.4938</v>
      </c>
    </row>
    <row r="31" spans="1:4">
      <c r="A31" s="7">
        <f>EOMONTH(A30,1)</f>
        <v>43982</v>
      </c>
      <c r="B31" s="3">
        <v>557.55999999999995</v>
      </c>
      <c r="C31" s="6">
        <v>2.14</v>
      </c>
      <c r="D31" s="6">
        <f>B31*C31</f>
        <v>1193.1784</v>
      </c>
    </row>
    <row r="32" spans="1:4">
      <c r="A32" s="7">
        <f>EOMONTH(A31,1)</f>
        <v>44012</v>
      </c>
      <c r="B32" s="3">
        <v>632.51</v>
      </c>
      <c r="C32" s="6">
        <v>2.14</v>
      </c>
      <c r="D32" s="6">
        <f>B32*C32</f>
        <v>1353.5714</v>
      </c>
    </row>
    <row r="33" spans="1:4">
      <c r="A33" s="7">
        <f>EOMONTH(A32,1)</f>
        <v>44043</v>
      </c>
      <c r="B33" s="3">
        <v>629.37</v>
      </c>
      <c r="C33" s="6">
        <v>2.14</v>
      </c>
      <c r="D33" s="6">
        <f>B33*C33</f>
        <v>1346.8518000000001</v>
      </c>
    </row>
    <row r="34" spans="1:4">
      <c r="A34" s="7">
        <f>EOMONTH(A33,1)</f>
        <v>44074</v>
      </c>
      <c r="B34" s="3">
        <v>618.44000000000005</v>
      </c>
      <c r="C34" s="6">
        <v>2.14</v>
      </c>
      <c r="D34" s="6">
        <f>B34*C34</f>
        <v>1323.4616000000001</v>
      </c>
    </row>
    <row r="35" spans="1:4">
      <c r="A35" s="7">
        <f>EOMONTH(A34,1)</f>
        <v>44104</v>
      </c>
      <c r="B35" s="3">
        <v>591.9</v>
      </c>
      <c r="C35" s="6">
        <v>2.14</v>
      </c>
      <c r="D35" s="6">
        <f>B35*C35</f>
        <v>1266.6659999999999</v>
      </c>
    </row>
    <row r="36" spans="1:4">
      <c r="A36" s="7">
        <f>EOMONTH(A35,1)</f>
        <v>44135</v>
      </c>
      <c r="B36" s="3">
        <v>632.15</v>
      </c>
      <c r="C36" s="6">
        <v>2.14</v>
      </c>
      <c r="D36" s="6">
        <f>B36*C36</f>
        <v>1352.8009999999999</v>
      </c>
    </row>
    <row r="37" spans="1:4">
      <c r="A37" s="7">
        <f>EOMONTH(A36,1)</f>
        <v>44165</v>
      </c>
      <c r="B37" s="3">
        <v>625.67999999999995</v>
      </c>
      <c r="C37" s="6">
        <v>2.14</v>
      </c>
      <c r="D37" s="6">
        <f>B37*C37</f>
        <v>1338.9551999999999</v>
      </c>
    </row>
    <row r="38" spans="1:4">
      <c r="A38" s="7">
        <f>EOMONTH(A37,1)</f>
        <v>44196</v>
      </c>
      <c r="B38" s="3">
        <v>603.78</v>
      </c>
      <c r="C38" s="6">
        <v>2.14</v>
      </c>
      <c r="D38" s="6">
        <f>B38*C38</f>
        <v>1292.0892000000001</v>
      </c>
    </row>
    <row r="39" spans="1:4">
      <c r="A39" s="7">
        <f>EOMONTH(A38,1)</f>
        <v>44227</v>
      </c>
      <c r="B39" s="3">
        <v>695.49</v>
      </c>
      <c r="C39" s="6">
        <v>2.14</v>
      </c>
      <c r="D39" s="6">
        <f>B39*C39</f>
        <v>1488.3486</v>
      </c>
    </row>
    <row r="40" spans="1:4">
      <c r="A40" s="7">
        <f>EOMONTH(A39,1)</f>
        <v>44255</v>
      </c>
      <c r="B40" s="3">
        <v>703.48</v>
      </c>
      <c r="C40" s="6">
        <v>2.14</v>
      </c>
      <c r="D40" s="6">
        <f>B40*C40</f>
        <v>1505.4472000000001</v>
      </c>
    </row>
    <row r="41" spans="1:4">
      <c r="A41" s="7">
        <f>EOMONTH(A40,1)</f>
        <v>44286</v>
      </c>
      <c r="B41" s="3">
        <v>706.23</v>
      </c>
      <c r="C41" s="6">
        <v>2.14</v>
      </c>
      <c r="D41" s="6">
        <f>B41*C41</f>
        <v>1511.3322000000001</v>
      </c>
    </row>
    <row r="42" spans="1:4">
      <c r="A42" s="7">
        <f>EOMONTH(A41,1)</f>
        <v>44316</v>
      </c>
      <c r="B42" s="3">
        <v>661.98</v>
      </c>
      <c r="C42" s="3">
        <v>1.4530000000000001</v>
      </c>
      <c r="D42" s="6">
        <f>B42*C42</f>
        <v>961.85694000000012</v>
      </c>
    </row>
    <row r="43" spans="1:4">
      <c r="A43" s="7">
        <f>EOMONTH(A42,1)</f>
        <v>44347</v>
      </c>
      <c r="B43" s="3">
        <v>609.89</v>
      </c>
      <c r="C43" s="3">
        <v>1.4530000000000001</v>
      </c>
      <c r="D43" s="6">
        <f>B43*C43</f>
        <v>886.17016999999998</v>
      </c>
    </row>
    <row r="44" spans="1:4">
      <c r="A44" s="7">
        <f>EOMONTH(A43,1)</f>
        <v>44377</v>
      </c>
      <c r="B44" s="3">
        <v>599.54</v>
      </c>
      <c r="C44" s="3">
        <v>1.4530000000000001</v>
      </c>
      <c r="D44" s="6">
        <f>B44*C44</f>
        <v>871.13162</v>
      </c>
    </row>
    <row r="45" spans="1:4">
      <c r="A45" s="7">
        <f>EOMONTH(A44,1)</f>
        <v>44408</v>
      </c>
      <c r="B45" s="3">
        <v>564.30999999999995</v>
      </c>
      <c r="C45" s="3">
        <v>1.4530000000000001</v>
      </c>
      <c r="D45" s="6">
        <f>B45*C45</f>
        <v>819.94242999999994</v>
      </c>
    </row>
    <row r="46" spans="1:4">
      <c r="A46" s="7">
        <f>EOMONTH(A45,1)</f>
        <v>44439</v>
      </c>
      <c r="B46" s="3">
        <v>495.92</v>
      </c>
      <c r="C46" s="3">
        <v>1.4530000000000001</v>
      </c>
      <c r="D46" s="6">
        <f>B46*C46</f>
        <v>720.57176000000004</v>
      </c>
    </row>
    <row r="47" spans="1:4">
      <c r="A47" s="7">
        <f>EOMONTH(A46,1)</f>
        <v>44469</v>
      </c>
      <c r="B47" s="3">
        <v>498.44</v>
      </c>
      <c r="C47" s="3">
        <v>1.4530000000000001</v>
      </c>
      <c r="D47" s="6">
        <f>B47*C47</f>
        <v>724.23332000000005</v>
      </c>
    </row>
    <row r="48" spans="1:4">
      <c r="A48" s="7">
        <f>EOMONTH(A47,1)</f>
        <v>44500</v>
      </c>
      <c r="B48" s="3">
        <v>517.95000000000005</v>
      </c>
      <c r="C48" s="3">
        <v>1.4530000000000001</v>
      </c>
      <c r="D48" s="6">
        <f>B48*C48</f>
        <v>752.58135000000016</v>
      </c>
    </row>
    <row r="49" spans="1:4">
      <c r="A49" s="7">
        <f>EOMONTH(A48,1)</f>
        <v>44530</v>
      </c>
      <c r="B49" s="3">
        <v>491.57</v>
      </c>
      <c r="C49" s="3">
        <v>1.4530000000000001</v>
      </c>
      <c r="D49" s="6">
        <f>B49*C49</f>
        <v>714.25121000000001</v>
      </c>
    </row>
    <row r="50" spans="1:4">
      <c r="A50" s="7">
        <f>EOMONTH(A49,1)</f>
        <v>44561</v>
      </c>
      <c r="B50" s="3">
        <v>494.32</v>
      </c>
      <c r="C50" s="3">
        <v>1.4530000000000001</v>
      </c>
      <c r="D50" s="6">
        <f>B50*C50</f>
        <v>718.24696000000006</v>
      </c>
    </row>
    <row r="51" spans="1:4">
      <c r="A51" s="7">
        <f>EOMONTH(A50,1)</f>
        <v>44592</v>
      </c>
      <c r="B51" s="3">
        <v>492.35</v>
      </c>
      <c r="C51" s="3">
        <v>1.4530000000000001</v>
      </c>
      <c r="D51" s="6">
        <f>B51*C51</f>
        <v>715.3845500000001</v>
      </c>
    </row>
    <row r="52" spans="1:4">
      <c r="A52" s="7">
        <f>EOMONTH(A51,1)</f>
        <v>44620</v>
      </c>
      <c r="B52" s="3">
        <v>385.64</v>
      </c>
      <c r="C52" s="3">
        <v>1.4530000000000001</v>
      </c>
      <c r="D52" s="6">
        <f>B52*C52</f>
        <v>560.33492000000001</v>
      </c>
    </row>
    <row r="53" spans="1:4">
      <c r="A53" s="7">
        <f>EOMONTH(A52,1)</f>
        <v>44651</v>
      </c>
      <c r="B53" s="3">
        <v>332.78</v>
      </c>
      <c r="C53" s="3">
        <v>1.4530000000000001</v>
      </c>
      <c r="D53" s="6">
        <f>B53*C53</f>
        <v>483.52933999999999</v>
      </c>
    </row>
    <row r="54" spans="1:4">
      <c r="A54" s="7">
        <f>EOMONTH(A53,1)</f>
        <v>44681</v>
      </c>
      <c r="B54" s="3">
        <v>321.51</v>
      </c>
      <c r="C54" s="3">
        <v>1.042</v>
      </c>
      <c r="D54" s="6">
        <f>B54*C54</f>
        <v>335.01342</v>
      </c>
    </row>
    <row r="55" spans="1:4">
      <c r="A55" s="7">
        <f>EOMONTH(A54,1)</f>
        <v>44712</v>
      </c>
      <c r="B55" s="3">
        <v>342.84</v>
      </c>
      <c r="C55" s="3">
        <v>1.042</v>
      </c>
      <c r="D55" s="6">
        <f>B55*C55</f>
        <v>357.23928000000001</v>
      </c>
    </row>
    <row r="56" spans="1:4">
      <c r="A56" s="7">
        <f>EOMONTH(A55,1)</f>
        <v>44742</v>
      </c>
      <c r="B56" s="3">
        <v>473.48</v>
      </c>
      <c r="C56" s="3">
        <v>1.042</v>
      </c>
      <c r="D56" s="6">
        <f>B56*C56</f>
        <v>493.36616000000004</v>
      </c>
    </row>
    <row r="57" spans="1:4">
      <c r="A57" s="7">
        <f>EOMONTH(A56,1)</f>
        <v>44773</v>
      </c>
      <c r="B57" s="3">
        <v>471.22</v>
      </c>
      <c r="C57" s="3">
        <v>1.042</v>
      </c>
      <c r="D57" s="6">
        <f>B57*C57</f>
        <v>491.01124000000004</v>
      </c>
    </row>
    <row r="58" spans="1:4">
      <c r="A58" s="7">
        <f>EOMONTH(A57,1)</f>
        <v>44804</v>
      </c>
      <c r="B58" s="3">
        <v>485.09</v>
      </c>
      <c r="C58" s="3">
        <v>1.042</v>
      </c>
      <c r="D58" s="6">
        <f>B58*C58</f>
        <v>505.46377999999999</v>
      </c>
    </row>
    <row r="59" spans="1:4">
      <c r="A59" s="7">
        <f>EOMONTH(A58,1)</f>
        <v>44834</v>
      </c>
      <c r="B59" s="3">
        <v>452.6</v>
      </c>
      <c r="C59" s="3">
        <v>1.042</v>
      </c>
      <c r="D59" s="6">
        <f>B59*C59</f>
        <v>471.60920000000004</v>
      </c>
    </row>
    <row r="60" spans="1:4">
      <c r="A60" s="7">
        <f>EOMONTH(A59,1)</f>
        <v>44865</v>
      </c>
      <c r="B60" s="3">
        <v>379.97</v>
      </c>
      <c r="C60" s="3">
        <v>1.042</v>
      </c>
      <c r="D60" s="6">
        <f>B60*C60</f>
        <v>395.92874000000006</v>
      </c>
    </row>
    <row r="61" spans="1:4">
      <c r="A61" s="7">
        <f>EOMONTH(A60,1)</f>
        <v>44895</v>
      </c>
      <c r="B61" s="3">
        <v>527.16</v>
      </c>
      <c r="C61" s="3">
        <v>1.042</v>
      </c>
      <c r="D61" s="6">
        <f>B61*C61</f>
        <v>549.30071999999996</v>
      </c>
    </row>
    <row r="62" spans="1:4">
      <c r="A62" s="7">
        <f>EOMONTH(A61,1)</f>
        <v>44926</v>
      </c>
      <c r="B62" s="3">
        <v>564.80999999999995</v>
      </c>
      <c r="C62" s="3">
        <v>1.042</v>
      </c>
      <c r="D62" s="6">
        <f>B62*C62</f>
        <v>588.53201999999999</v>
      </c>
    </row>
    <row r="63" spans="1:4">
      <c r="A63" s="7">
        <f>EOMONTH(A62,1)</f>
        <v>44957</v>
      </c>
      <c r="B63" s="3">
        <v>669.24</v>
      </c>
      <c r="C63" s="3">
        <v>1.042</v>
      </c>
      <c r="D63" s="6">
        <f>B63*C63</f>
        <v>697.34807999999998</v>
      </c>
    </row>
    <row r="64" spans="1:4">
      <c r="A64" s="7">
        <f>EOMONTH(A63,1)</f>
        <v>44985</v>
      </c>
      <c r="B64" s="3">
        <v>651.34</v>
      </c>
      <c r="C64" s="3">
        <v>1.042</v>
      </c>
      <c r="D64" s="6">
        <f>B64*C64</f>
        <v>678.69628</v>
      </c>
    </row>
    <row r="65" spans="1:4">
      <c r="A65" s="7">
        <f>EOMONTH(A64,1)</f>
        <v>45016</v>
      </c>
      <c r="B65" s="3">
        <v>658.52</v>
      </c>
      <c r="C65" s="3">
        <v>1.042</v>
      </c>
      <c r="D65" s="6">
        <f>B65*C65</f>
        <v>686.17784000000006</v>
      </c>
    </row>
    <row r="66" spans="1:4">
      <c r="A66" s="7">
        <f>EOMONTH(A65,1)</f>
        <v>45046</v>
      </c>
      <c r="B66" s="3">
        <v>652.16999999999996</v>
      </c>
      <c r="C66" s="3">
        <v>0.93300000000000005</v>
      </c>
      <c r="D66" s="6">
        <f>B66*C66</f>
        <v>608.47460999999998</v>
      </c>
    </row>
    <row r="67" spans="1:4">
      <c r="A67" s="7">
        <f>EOMONTH(A66,1)</f>
        <v>45077</v>
      </c>
      <c r="B67" s="3">
        <v>595.30999999999995</v>
      </c>
      <c r="C67" s="3">
        <v>0.93300000000000005</v>
      </c>
      <c r="D67" s="6">
        <f>B67*C67</f>
        <v>555.42422999999997</v>
      </c>
    </row>
    <row r="68" spans="1:4">
      <c r="A68" s="7">
        <f>EOMONTH(A67,1)</f>
        <v>45107</v>
      </c>
      <c r="B68" s="3">
        <v>679.73</v>
      </c>
      <c r="C68" s="3">
        <v>0.93300000000000005</v>
      </c>
      <c r="D68" s="6">
        <f>B68*C68</f>
        <v>634.1880900000001</v>
      </c>
    </row>
    <row r="69" spans="1:4">
      <c r="A69" s="7">
        <f>EOMONTH(A68,1)</f>
        <v>45138</v>
      </c>
      <c r="B69" s="3">
        <v>702.75</v>
      </c>
      <c r="C69" s="3">
        <v>0.93300000000000005</v>
      </c>
      <c r="D69" s="6">
        <f>B69*C69</f>
        <v>655.66575</v>
      </c>
    </row>
    <row r="70" spans="1:4">
      <c r="A70" s="7">
        <f>EOMONTH(A69,1)</f>
        <v>45169</v>
      </c>
      <c r="B70" s="3">
        <v>643.33000000000004</v>
      </c>
      <c r="C70" s="3">
        <v>0.93300000000000005</v>
      </c>
      <c r="D70" s="6">
        <f>B70*C70</f>
        <v>600.22689000000003</v>
      </c>
    </row>
    <row r="71" spans="1:4">
      <c r="A71" s="7">
        <f>EOMONTH(A70,1)</f>
        <v>45199</v>
      </c>
      <c r="B71" s="3">
        <v>605.04999999999995</v>
      </c>
      <c r="C71" s="3">
        <v>0.93300000000000005</v>
      </c>
      <c r="D71" s="6">
        <f>B71*C71</f>
        <v>564.51165000000003</v>
      </c>
    </row>
    <row r="72" spans="1:4">
      <c r="A72" s="7">
        <f>EOMONTH(A71,1)</f>
        <v>45230</v>
      </c>
      <c r="B72" s="3">
        <v>581.80999999999995</v>
      </c>
      <c r="C72" s="3">
        <v>0.93300000000000005</v>
      </c>
      <c r="D72" s="6">
        <f>B72*C72</f>
        <v>542.82872999999995</v>
      </c>
    </row>
    <row r="73" spans="1:4">
      <c r="A73" s="7">
        <f>EOMONTH(A72,1)</f>
        <v>45260</v>
      </c>
      <c r="B73" s="3">
        <v>694.64</v>
      </c>
      <c r="C73" s="3">
        <v>0.93300000000000005</v>
      </c>
      <c r="D73" s="6">
        <f>B73*C73</f>
        <v>648.09911999999997</v>
      </c>
    </row>
    <row r="74" spans="1:4">
      <c r="A74" s="7">
        <f>EOMONTH(A73,1)</f>
        <v>45291</v>
      </c>
      <c r="B74" s="3">
        <v>625.54</v>
      </c>
      <c r="C74" s="3">
        <v>0.93300000000000005</v>
      </c>
      <c r="D74" s="6">
        <f>B74*C74</f>
        <v>583.62882000000002</v>
      </c>
    </row>
    <row r="75" spans="1:4">
      <c r="A75" s="7">
        <f>EOMONTH(A74,1)</f>
        <v>45322</v>
      </c>
      <c r="B75" s="3">
        <v>627.4</v>
      </c>
      <c r="C75" s="3">
        <v>0.93300000000000005</v>
      </c>
      <c r="D75" s="6">
        <f>B75*C75</f>
        <v>585.36419999999998</v>
      </c>
    </row>
    <row r="76" spans="1:4">
      <c r="A76" s="7">
        <f>EOMONTH(A75,1)</f>
        <v>45351</v>
      </c>
      <c r="B76" s="3">
        <v>630.98</v>
      </c>
      <c r="C76" s="3">
        <v>0.93300000000000005</v>
      </c>
      <c r="D76" s="6">
        <f>B76*C76</f>
        <v>588.70434</v>
      </c>
    </row>
    <row r="77" spans="1:4">
      <c r="A77" s="7">
        <f>EOMONTH(A76,1)</f>
        <v>45382</v>
      </c>
      <c r="B77" s="3">
        <v>671.46</v>
      </c>
      <c r="C77" s="3">
        <v>0.93300000000000005</v>
      </c>
      <c r="D77" s="6">
        <f>B77*C77</f>
        <v>626.47218000000009</v>
      </c>
    </row>
    <row r="78" spans="1:4">
      <c r="A78" s="7">
        <f>EOMONTH(A77,1)</f>
        <v>45412</v>
      </c>
      <c r="B78" s="3">
        <v>721.42</v>
      </c>
      <c r="C78" s="3">
        <v>0.93200000000000005</v>
      </c>
      <c r="D78" s="6">
        <f>B78*C78</f>
        <v>672.36343999999997</v>
      </c>
    </row>
    <row r="79" spans="1:4">
      <c r="A79" s="7">
        <f>EOMONTH(A78,1)</f>
        <v>45443</v>
      </c>
      <c r="B79" s="3">
        <v>745.61</v>
      </c>
      <c r="C79" s="3">
        <v>0.93200000000000005</v>
      </c>
      <c r="D79" s="6">
        <f>B79*C79</f>
        <v>694.90852000000007</v>
      </c>
    </row>
    <row r="80" spans="1:4">
      <c r="A80" s="7">
        <f>EOMONTH(A79,1)</f>
        <v>45473</v>
      </c>
      <c r="B80" s="3">
        <v>713.39</v>
      </c>
      <c r="C80" s="3">
        <v>0.93200000000000005</v>
      </c>
      <c r="D80" s="6">
        <f>B80*C80</f>
        <v>664.87948000000006</v>
      </c>
    </row>
    <row r="81" spans="1:4">
      <c r="A81" s="7">
        <f>EOMONTH(A80,1)</f>
        <v>45504</v>
      </c>
      <c r="B81" s="3">
        <v>704.39</v>
      </c>
      <c r="C81" s="3">
        <v>0.93200000000000005</v>
      </c>
      <c r="D81" s="6">
        <f>B81*C81</f>
        <v>656.49148000000002</v>
      </c>
    </row>
    <row r="82" spans="1:4">
      <c r="A82" s="7">
        <f>EOMONTH(A81,1)</f>
        <v>45535</v>
      </c>
      <c r="B82" s="3">
        <v>735.49</v>
      </c>
      <c r="C82" s="3">
        <v>0.93200000000000005</v>
      </c>
      <c r="D82" s="6">
        <f>B82*C82</f>
        <v>685.4766800000001</v>
      </c>
    </row>
    <row r="83" spans="1:4">
      <c r="A83" s="7">
        <f>EOMONTH(A82,1)</f>
        <v>45565</v>
      </c>
      <c r="B83" s="3">
        <v>838.92</v>
      </c>
      <c r="C83" s="3">
        <v>0.93200000000000005</v>
      </c>
      <c r="D83" s="6">
        <f>B83*C83</f>
        <v>781.87343999999996</v>
      </c>
    </row>
    <row r="84" spans="1:4">
      <c r="A84" s="7">
        <f>EOMONTH(A83,1)</f>
        <v>45596</v>
      </c>
      <c r="B84" s="3">
        <v>828.77</v>
      </c>
      <c r="C84" s="3">
        <v>0.93200000000000005</v>
      </c>
      <c r="D84" s="6">
        <f>B84*C84</f>
        <v>772.41363999999999</v>
      </c>
    </row>
    <row r="85" spans="1:4">
      <c r="A85" s="7">
        <f>EOMONTH(A84,1)</f>
        <v>45626</v>
      </c>
      <c r="B85" s="3">
        <v>813.54</v>
      </c>
      <c r="C85" s="3">
        <v>0.93200000000000005</v>
      </c>
      <c r="D85" s="6">
        <f>B85*C85</f>
        <v>758.21928000000003</v>
      </c>
    </row>
    <row r="86" spans="1:4">
      <c r="A86" s="7">
        <f>EOMONTH(A85,1)</f>
        <v>45657</v>
      </c>
      <c r="B86" s="3">
        <v>834.58</v>
      </c>
      <c r="C86" s="3">
        <v>0.93200000000000005</v>
      </c>
      <c r="D86" s="6">
        <f>B86*C86</f>
        <v>777.82856000000004</v>
      </c>
    </row>
    <row r="87" spans="1:4">
      <c r="A87" s="7">
        <f>EOMONTH(A86,1)</f>
        <v>45688</v>
      </c>
      <c r="B87" s="3">
        <v>789.48</v>
      </c>
      <c r="C87" s="3">
        <v>0.93200000000000005</v>
      </c>
      <c r="D87" s="6">
        <f>B87*C87</f>
        <v>735.79536000000007</v>
      </c>
    </row>
    <row r="88" spans="1:4">
      <c r="A88" s="7">
        <f>EOMONTH(A87,1)</f>
        <v>45716</v>
      </c>
      <c r="B88" s="3">
        <v>886.69</v>
      </c>
      <c r="C88" s="3">
        <v>0.93200000000000005</v>
      </c>
      <c r="D88" s="6">
        <f>B88*C88</f>
        <v>826.39508000000012</v>
      </c>
    </row>
    <row r="89" spans="1:4">
      <c r="A89" s="7">
        <f>EOMONTH(A88,1)</f>
        <v>45747</v>
      </c>
      <c r="B89" s="3">
        <v>903.56</v>
      </c>
      <c r="C89" s="3">
        <v>0.93200000000000005</v>
      </c>
      <c r="D89" s="6">
        <f>B89*C89</f>
        <v>842.11792000000003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89"/>
  <sheetViews>
    <sheetView workbookViewId="0">
      <selection activeCell="G8" sqref="G8"/>
    </sheetView>
  </sheetViews>
  <sheetFormatPr defaultRowHeight="15"/>
  <cols>
    <col min="1" max="1" width="23" style="22" bestFit="1" customWidth="1"/>
    <col min="2" max="2" width="26.85546875" style="22" bestFit="1" customWidth="1"/>
    <col min="3" max="3" width="30.140625" style="22" bestFit="1" customWidth="1"/>
    <col min="4" max="4" width="26.5703125" style="22" bestFit="1" customWidth="1"/>
  </cols>
  <sheetData>
    <row r="3" spans="1:4" ht="18.75" customHeight="1">
      <c r="A3" s="11" t="s">
        <v>11</v>
      </c>
    </row>
    <row r="5" spans="1:4" ht="18.75" customHeight="1">
      <c r="A5" s="12" t="s">
        <v>7</v>
      </c>
      <c r="B5" s="12" t="s">
        <v>12</v>
      </c>
      <c r="C5" s="12" t="s">
        <v>9</v>
      </c>
      <c r="D5" s="12" t="s">
        <v>13</v>
      </c>
    </row>
    <row r="6" spans="1:4">
      <c r="A6" s="5">
        <f>tbl_price_history!A6</f>
        <v>43220</v>
      </c>
      <c r="B6" s="3">
        <v>346.11</v>
      </c>
      <c r="C6" s="3">
        <v>9.0809999999999995</v>
      </c>
      <c r="D6" s="6">
        <f>B6*C6</f>
        <v>3143.0249100000001</v>
      </c>
    </row>
    <row r="7" spans="1:4">
      <c r="A7" s="5">
        <f>tbl_price_history!A7</f>
        <v>43251</v>
      </c>
      <c r="B7" s="3">
        <v>353.36</v>
      </c>
      <c r="C7" s="3">
        <v>9.0809999999999995</v>
      </c>
      <c r="D7" s="6">
        <f>B7*C7</f>
        <v>3208.8621600000001</v>
      </c>
    </row>
    <row r="8" spans="1:4">
      <c r="A8" s="5">
        <f>tbl_price_history!A8</f>
        <v>43281</v>
      </c>
      <c r="B8" s="3">
        <v>349.4</v>
      </c>
      <c r="C8" s="3">
        <v>9.0809999999999995</v>
      </c>
      <c r="D8" s="6">
        <f>B8*C8</f>
        <v>3172.9013999999997</v>
      </c>
    </row>
    <row r="9" spans="1:4">
      <c r="A9" s="5">
        <f>tbl_price_history!A9</f>
        <v>43312</v>
      </c>
      <c r="B9" s="3">
        <v>315.14999999999998</v>
      </c>
      <c r="C9" s="3">
        <v>9.0809999999999995</v>
      </c>
      <c r="D9" s="6">
        <f>B9*C9</f>
        <v>2861.8771499999998</v>
      </c>
    </row>
    <row r="10" spans="1:4">
      <c r="A10" s="5">
        <f>tbl_price_history!A10</f>
        <v>43343</v>
      </c>
      <c r="B10" s="3">
        <v>301.66000000000003</v>
      </c>
      <c r="C10" s="3">
        <v>9.0809999999999995</v>
      </c>
      <c r="D10" s="6">
        <f>B10*C10</f>
        <v>2739.37446</v>
      </c>
    </row>
    <row r="11" spans="1:4">
      <c r="A11" s="5">
        <f>tbl_price_history!A11</f>
        <v>43373</v>
      </c>
      <c r="B11" s="3">
        <v>286.76</v>
      </c>
      <c r="C11" s="3">
        <v>9.0809999999999995</v>
      </c>
      <c r="D11" s="6">
        <f>B11*C11</f>
        <v>2604.06756</v>
      </c>
    </row>
    <row r="12" spans="1:4">
      <c r="A12" s="5">
        <f>tbl_price_history!A12</f>
        <v>43404</v>
      </c>
      <c r="B12" s="3">
        <v>236.89</v>
      </c>
      <c r="C12" s="3">
        <v>9.0809999999999995</v>
      </c>
      <c r="D12" s="6">
        <f>B12*C12</f>
        <v>2151.1980899999999</v>
      </c>
    </row>
    <row r="13" spans="1:4">
      <c r="A13" s="5">
        <f>tbl_price_history!A13</f>
        <v>43434</v>
      </c>
      <c r="B13" s="3">
        <v>276.82</v>
      </c>
      <c r="C13" s="3">
        <v>9.0809999999999995</v>
      </c>
      <c r="D13" s="6">
        <f>B13*C13</f>
        <v>2513.80242</v>
      </c>
    </row>
    <row r="14" spans="1:4">
      <c r="A14" s="5">
        <f>tbl_price_history!A14</f>
        <v>43465</v>
      </c>
      <c r="B14" s="3">
        <v>278.58999999999997</v>
      </c>
      <c r="C14" s="3">
        <v>9.0809999999999995</v>
      </c>
      <c r="D14" s="6">
        <f>B14*C14</f>
        <v>2529.8757899999996</v>
      </c>
    </row>
    <row r="15" spans="1:4">
      <c r="A15" s="5">
        <f>tbl_price_history!A15</f>
        <v>43496</v>
      </c>
      <c r="B15" s="3">
        <v>306.99</v>
      </c>
      <c r="C15" s="3">
        <v>9.0809999999999995</v>
      </c>
      <c r="D15" s="6">
        <f>B15*C15</f>
        <v>2787.77619</v>
      </c>
    </row>
    <row r="16" spans="1:4">
      <c r="A16" s="5">
        <f>tbl_price_history!A16</f>
        <v>43524</v>
      </c>
      <c r="B16" s="3">
        <v>297.94</v>
      </c>
      <c r="C16" s="3">
        <v>9.0809999999999995</v>
      </c>
      <c r="D16" s="6">
        <f>B16*C16</f>
        <v>2705.5931399999999</v>
      </c>
    </row>
    <row r="17" spans="1:4">
      <c r="A17" s="5">
        <f>tbl_price_history!A17</f>
        <v>43555</v>
      </c>
      <c r="B17" s="3">
        <v>320.29000000000002</v>
      </c>
      <c r="C17" s="3">
        <v>9.0809999999999995</v>
      </c>
      <c r="D17" s="6">
        <f>B17*C17</f>
        <v>2908.5534900000002</v>
      </c>
    </row>
    <row r="18" spans="1:4">
      <c r="A18" s="5">
        <f>tbl_price_history!A18</f>
        <v>43585</v>
      </c>
      <c r="B18" s="3">
        <v>344.24</v>
      </c>
      <c r="C18" s="3">
        <v>9.0809999999999995</v>
      </c>
      <c r="D18" s="6">
        <f>B18*C18</f>
        <v>3126.0434399999999</v>
      </c>
    </row>
    <row r="19" spans="1:4">
      <c r="A19" s="5">
        <f>tbl_price_history!A19</f>
        <v>43616</v>
      </c>
      <c r="B19" s="3">
        <v>289.24</v>
      </c>
      <c r="C19" s="3">
        <v>9.0809999999999995</v>
      </c>
      <c r="D19" s="6">
        <f>B19*C19</f>
        <v>2626.58844</v>
      </c>
    </row>
    <row r="20" spans="1:4">
      <c r="A20" s="5">
        <f>tbl_price_history!A20</f>
        <v>43646</v>
      </c>
      <c r="B20" s="3">
        <v>313.77</v>
      </c>
      <c r="C20" s="3">
        <v>9.0809999999999995</v>
      </c>
      <c r="D20" s="6">
        <f>B20*C20</f>
        <v>2849.3453699999995</v>
      </c>
    </row>
    <row r="21" spans="1:4">
      <c r="A21" s="5">
        <f>tbl_price_history!A21</f>
        <v>43677</v>
      </c>
      <c r="B21" s="3">
        <v>327.64999999999998</v>
      </c>
      <c r="C21" s="3">
        <v>9.0809999999999995</v>
      </c>
      <c r="D21" s="6">
        <f>B21*C21</f>
        <v>2975.3896499999996</v>
      </c>
    </row>
    <row r="22" spans="1:4">
      <c r="A22" s="5">
        <f>tbl_price_history!A22</f>
        <v>43708</v>
      </c>
      <c r="B22" s="3">
        <v>289.02999999999997</v>
      </c>
      <c r="C22" s="3">
        <v>9.0809999999999995</v>
      </c>
      <c r="D22" s="6">
        <f>B22*C22</f>
        <v>2624.6814299999996</v>
      </c>
    </row>
    <row r="23" spans="1:4">
      <c r="A23" s="5">
        <f>tbl_price_history!A23</f>
        <v>43738</v>
      </c>
      <c r="B23" s="3">
        <v>293.83999999999997</v>
      </c>
      <c r="C23" s="3">
        <v>9.0809999999999995</v>
      </c>
      <c r="D23" s="6">
        <f>B23*C23</f>
        <v>2668.3610399999998</v>
      </c>
    </row>
    <row r="24" spans="1:4">
      <c r="A24" s="5">
        <f>tbl_price_history!A24</f>
        <v>43769</v>
      </c>
      <c r="B24" s="3">
        <v>285.47000000000003</v>
      </c>
      <c r="C24" s="3">
        <v>9.0809999999999995</v>
      </c>
      <c r="D24" s="6">
        <f>B24*C24</f>
        <v>2592.3530700000001</v>
      </c>
    </row>
    <row r="25" spans="1:4">
      <c r="A25" s="5">
        <f>tbl_price_history!A25</f>
        <v>43799</v>
      </c>
      <c r="B25" s="3">
        <v>295.26</v>
      </c>
      <c r="C25" s="3">
        <v>9.0809999999999995</v>
      </c>
      <c r="D25" s="6">
        <f>B25*C25</f>
        <v>2681.2560599999997</v>
      </c>
    </row>
    <row r="26" spans="1:4">
      <c r="A26" s="5">
        <f>tbl_price_history!A26</f>
        <v>43830</v>
      </c>
      <c r="B26" s="3">
        <v>334.24</v>
      </c>
      <c r="C26" s="3">
        <v>9.0809999999999995</v>
      </c>
      <c r="D26" s="6">
        <f>B26*C26</f>
        <v>3035.23344</v>
      </c>
    </row>
    <row r="27" spans="1:4">
      <c r="A27" s="5">
        <f>tbl_price_history!A27</f>
        <v>43861</v>
      </c>
      <c r="B27" s="3">
        <v>331.93</v>
      </c>
      <c r="C27" s="3">
        <v>9.0809999999999995</v>
      </c>
      <c r="D27" s="6">
        <f>B27*C27</f>
        <v>3014.2563299999997</v>
      </c>
    </row>
    <row r="28" spans="1:4">
      <c r="A28" s="5">
        <f>tbl_price_history!A28</f>
        <v>43890</v>
      </c>
      <c r="B28" s="3">
        <v>343.49</v>
      </c>
      <c r="C28" s="3">
        <v>9.0809999999999995</v>
      </c>
      <c r="D28" s="6">
        <f>B28*C28</f>
        <v>3119.2326899999998</v>
      </c>
    </row>
    <row r="29" spans="1:4">
      <c r="A29" s="5">
        <f>tbl_price_history!A29</f>
        <v>43921</v>
      </c>
      <c r="B29" s="3">
        <v>338.33</v>
      </c>
      <c r="C29" s="3">
        <v>9.0809999999999995</v>
      </c>
      <c r="D29" s="6">
        <f>B29*C29</f>
        <v>3072.3747299999995</v>
      </c>
    </row>
    <row r="30" spans="1:4">
      <c r="A30" s="5">
        <f>tbl_price_history!A30</f>
        <v>43951</v>
      </c>
      <c r="B30" s="3">
        <v>371.08</v>
      </c>
      <c r="C30" s="3">
        <v>9.0809999999999995</v>
      </c>
      <c r="D30" s="6">
        <f>B30*C30</f>
        <v>3369.7774799999997</v>
      </c>
    </row>
    <row r="31" spans="1:4">
      <c r="A31" s="5">
        <f>tbl_price_history!A31</f>
        <v>43982</v>
      </c>
      <c r="B31" s="3">
        <v>365.21</v>
      </c>
      <c r="C31" s="3">
        <v>9.0809999999999995</v>
      </c>
      <c r="D31" s="6">
        <f>B31*C31</f>
        <v>3316.4720099999995</v>
      </c>
    </row>
    <row r="32" spans="1:4">
      <c r="A32" s="5">
        <f>tbl_price_history!A32</f>
        <v>44012</v>
      </c>
      <c r="B32" s="3">
        <v>445.04</v>
      </c>
      <c r="C32" s="3">
        <v>9.0809999999999995</v>
      </c>
      <c r="D32" s="6">
        <f>B32*C32</f>
        <v>4041.4082399999998</v>
      </c>
    </row>
    <row r="33" spans="1:4">
      <c r="A33" s="5">
        <f>tbl_price_history!A33</f>
        <v>44043</v>
      </c>
      <c r="B33" s="3">
        <v>476.64</v>
      </c>
      <c r="C33" s="3">
        <v>9.0809999999999995</v>
      </c>
      <c r="D33" s="6">
        <f>B33*C33</f>
        <v>4328.3678399999999</v>
      </c>
    </row>
    <row r="34" spans="1:4">
      <c r="A34" s="5">
        <f>tbl_price_history!A34</f>
        <v>44074</v>
      </c>
      <c r="B34" s="3">
        <v>473.51</v>
      </c>
      <c r="C34" s="3">
        <v>9.0809999999999995</v>
      </c>
      <c r="D34" s="6">
        <f>B34*C34</f>
        <v>4299.9443099999999</v>
      </c>
    </row>
    <row r="35" spans="1:4">
      <c r="A35" s="5">
        <f>tbl_price_history!A35</f>
        <v>44104</v>
      </c>
      <c r="B35" s="3">
        <v>456.55</v>
      </c>
      <c r="C35" s="3">
        <v>9.0809999999999995</v>
      </c>
      <c r="D35" s="6">
        <f>B35*C35</f>
        <v>4145.93055</v>
      </c>
    </row>
    <row r="36" spans="1:4">
      <c r="A36" s="5">
        <f>tbl_price_history!A36</f>
        <v>44135</v>
      </c>
      <c r="B36" s="3">
        <v>527.51</v>
      </c>
      <c r="C36" s="3">
        <v>9.0809999999999995</v>
      </c>
      <c r="D36" s="6">
        <f>B36*C36</f>
        <v>4790.3183099999997</v>
      </c>
    </row>
    <row r="37" spans="1:4">
      <c r="A37" s="5">
        <f>tbl_price_history!A37</f>
        <v>44165</v>
      </c>
      <c r="B37" s="3">
        <v>502.52</v>
      </c>
      <c r="C37" s="3">
        <v>9.0809999999999995</v>
      </c>
      <c r="D37" s="6">
        <f>B37*C37</f>
        <v>4563.3841199999997</v>
      </c>
    </row>
    <row r="38" spans="1:4">
      <c r="A38" s="5">
        <f>tbl_price_history!A38</f>
        <v>44196</v>
      </c>
      <c r="B38" s="3">
        <v>505.2</v>
      </c>
      <c r="C38" s="3">
        <v>9.0809999999999995</v>
      </c>
      <c r="D38" s="6">
        <f>B38*C38</f>
        <v>4587.7212</v>
      </c>
    </row>
    <row r="39" spans="1:4">
      <c r="A39" s="5">
        <f>tbl_price_history!A39</f>
        <v>44227</v>
      </c>
      <c r="B39" s="3">
        <v>608.29</v>
      </c>
      <c r="C39" s="3">
        <v>9.0809999999999995</v>
      </c>
      <c r="D39" s="6">
        <f>B39*C39</f>
        <v>5523.8814899999998</v>
      </c>
    </row>
    <row r="40" spans="1:4">
      <c r="A40" s="5">
        <f>tbl_price_history!A40</f>
        <v>44255</v>
      </c>
      <c r="B40" s="3">
        <v>591.33000000000004</v>
      </c>
      <c r="C40" s="3">
        <v>9.0809999999999995</v>
      </c>
      <c r="D40" s="6">
        <f>B40*C40</f>
        <v>5369.8677299999999</v>
      </c>
    </row>
    <row r="41" spans="1:4">
      <c r="A41" s="5">
        <f>tbl_price_history!A41</f>
        <v>44286</v>
      </c>
      <c r="B41" s="3">
        <v>544.47</v>
      </c>
      <c r="C41" s="3">
        <v>9.0809999999999995</v>
      </c>
      <c r="D41" s="6">
        <f>B41*C41</f>
        <v>4944.3320700000004</v>
      </c>
    </row>
    <row r="42" spans="1:4">
      <c r="A42" s="5">
        <f>tbl_price_history!A42</f>
        <v>44316</v>
      </c>
      <c r="B42" s="3">
        <v>556.08000000000004</v>
      </c>
      <c r="C42" s="3">
        <v>9.0809999999999995</v>
      </c>
      <c r="D42" s="6">
        <f>B42*C42</f>
        <v>5049.7624800000003</v>
      </c>
    </row>
    <row r="43" spans="1:4">
      <c r="A43" s="5">
        <f>tbl_price_history!A43</f>
        <v>44347</v>
      </c>
      <c r="B43" s="3">
        <v>552.51</v>
      </c>
      <c r="C43" s="3">
        <v>9.0809999999999995</v>
      </c>
      <c r="D43" s="6">
        <f>B43*C43</f>
        <v>5017.3433099999993</v>
      </c>
    </row>
    <row r="44" spans="1:4">
      <c r="A44" s="5">
        <f>tbl_price_history!A44</f>
        <v>44377</v>
      </c>
      <c r="B44" s="3">
        <v>522.80999999999995</v>
      </c>
      <c r="C44" s="3">
        <v>9.0809999999999995</v>
      </c>
      <c r="D44" s="6">
        <f>B44*C44</f>
        <v>4747.6376099999989</v>
      </c>
    </row>
    <row r="45" spans="1:4">
      <c r="A45" s="5">
        <f>tbl_price_history!A45</f>
        <v>44408</v>
      </c>
      <c r="B45" s="3">
        <v>428.81</v>
      </c>
      <c r="C45" s="3">
        <v>9.0809999999999995</v>
      </c>
      <c r="D45" s="6">
        <f>B45*C45</f>
        <v>3894.0236099999997</v>
      </c>
    </row>
    <row r="46" spans="1:4">
      <c r="A46" s="5">
        <f>tbl_price_history!A46</f>
        <v>44439</v>
      </c>
      <c r="B46" s="3">
        <v>430.78</v>
      </c>
      <c r="C46" s="3">
        <v>9.0809999999999995</v>
      </c>
      <c r="D46" s="6">
        <f>B46*C46</f>
        <v>3911.9131799999996</v>
      </c>
    </row>
    <row r="47" spans="1:4">
      <c r="A47" s="5">
        <f>tbl_price_history!A47</f>
        <v>44469</v>
      </c>
      <c r="B47" s="3">
        <v>413.05</v>
      </c>
      <c r="C47" s="3">
        <v>9.0809999999999995</v>
      </c>
      <c r="D47" s="6">
        <f>B47*C47</f>
        <v>3750.9070499999998</v>
      </c>
    </row>
    <row r="48" spans="1:4">
      <c r="A48" s="5">
        <f>tbl_price_history!A48</f>
        <v>44500</v>
      </c>
      <c r="B48" s="3">
        <v>430.6</v>
      </c>
      <c r="C48" s="3">
        <v>9.0809999999999995</v>
      </c>
      <c r="D48" s="6">
        <f>B48*C48</f>
        <v>3910.2786000000001</v>
      </c>
    </row>
    <row r="49" spans="1:4">
      <c r="A49" s="5">
        <f>tbl_price_history!A49</f>
        <v>44530</v>
      </c>
      <c r="B49" s="3">
        <v>411.26</v>
      </c>
      <c r="C49" s="3">
        <v>9.0809999999999995</v>
      </c>
      <c r="D49" s="6">
        <f>B49*C49</f>
        <v>3734.6520599999999</v>
      </c>
    </row>
    <row r="50" spans="1:4">
      <c r="A50" s="5">
        <f>tbl_price_history!A50</f>
        <v>44561</v>
      </c>
      <c r="B50" s="3">
        <v>408.94</v>
      </c>
      <c r="C50" s="3">
        <v>9.0809999999999995</v>
      </c>
      <c r="D50" s="6">
        <f>B50*C50</f>
        <v>3713.5841399999999</v>
      </c>
    </row>
    <row r="51" spans="1:4">
      <c r="A51" s="5">
        <f>tbl_price_history!A51</f>
        <v>44592</v>
      </c>
      <c r="B51" s="3">
        <v>434.6</v>
      </c>
      <c r="C51" s="3">
        <v>9.0809999999999995</v>
      </c>
      <c r="D51" s="6">
        <f>B51*C51</f>
        <v>3946.6026000000002</v>
      </c>
    </row>
    <row r="52" spans="1:4">
      <c r="A52" s="5">
        <f>tbl_price_history!A52</f>
        <v>44620</v>
      </c>
      <c r="B52" s="3">
        <v>388.48</v>
      </c>
      <c r="C52" s="3">
        <v>9.0809999999999995</v>
      </c>
      <c r="D52" s="6">
        <f>B52*C52</f>
        <v>3527.7868800000001</v>
      </c>
    </row>
    <row r="53" spans="1:4">
      <c r="A53" s="5">
        <f>tbl_price_history!A53</f>
        <v>44651</v>
      </c>
      <c r="B53" s="3">
        <v>345.14</v>
      </c>
      <c r="C53" s="3">
        <v>9.0809999999999995</v>
      </c>
      <c r="D53" s="6">
        <f>B53*C53</f>
        <v>3134.2163399999995</v>
      </c>
    </row>
    <row r="54" spans="1:4">
      <c r="A54" s="5">
        <f>tbl_price_history!A54</f>
        <v>44681</v>
      </c>
      <c r="B54" s="3">
        <v>348.09</v>
      </c>
      <c r="C54" s="3">
        <v>9.0809999999999995</v>
      </c>
      <c r="D54" s="6">
        <f>B54*C54</f>
        <v>3161.0052899999996</v>
      </c>
    </row>
    <row r="55" spans="1:4">
      <c r="A55" s="5">
        <f>tbl_price_history!A55</f>
        <v>44712</v>
      </c>
      <c r="B55" s="3">
        <v>334.25</v>
      </c>
      <c r="C55" s="3">
        <v>9.0809999999999995</v>
      </c>
      <c r="D55" s="6">
        <f>B55*C55</f>
        <v>3035.3242499999997</v>
      </c>
    </row>
    <row r="56" spans="1:4">
      <c r="A56" s="5">
        <f>tbl_price_history!A56</f>
        <v>44742</v>
      </c>
      <c r="B56" s="3">
        <v>328.49</v>
      </c>
      <c r="C56" s="3">
        <v>9.0809999999999995</v>
      </c>
      <c r="D56" s="6">
        <f>B56*C56</f>
        <v>2983.0176900000001</v>
      </c>
    </row>
    <row r="57" spans="1:4">
      <c r="A57" s="5">
        <f>tbl_price_history!A57</f>
        <v>44773</v>
      </c>
      <c r="B57" s="3">
        <v>284.37</v>
      </c>
      <c r="C57" s="3">
        <v>9.0809999999999995</v>
      </c>
      <c r="D57" s="6">
        <f>B57*C57</f>
        <v>2582.3639699999999</v>
      </c>
    </row>
    <row r="58" spans="1:4">
      <c r="A58" s="5">
        <f>tbl_price_history!A58</f>
        <v>44804</v>
      </c>
      <c r="B58" s="3">
        <v>303.27999999999997</v>
      </c>
      <c r="C58" s="3">
        <v>9.0809999999999995</v>
      </c>
      <c r="D58" s="6">
        <f>B58*C58</f>
        <v>2754.0856799999997</v>
      </c>
    </row>
    <row r="59" spans="1:4">
      <c r="A59" s="5">
        <f>tbl_price_history!A59</f>
        <v>44834</v>
      </c>
      <c r="B59" s="3">
        <v>246.93</v>
      </c>
      <c r="C59" s="3">
        <v>9.0809999999999995</v>
      </c>
      <c r="D59" s="6">
        <f>B59*C59</f>
        <v>2242.3713299999999</v>
      </c>
    </row>
    <row r="60" spans="1:4">
      <c r="A60" s="5">
        <f>tbl_price_history!A60</f>
        <v>44865</v>
      </c>
      <c r="B60" s="3">
        <v>190.57</v>
      </c>
      <c r="C60" s="3">
        <v>9.0809999999999995</v>
      </c>
      <c r="D60" s="6">
        <f>B60*C60</f>
        <v>1730.5661699999998</v>
      </c>
    </row>
    <row r="61" spans="1:4">
      <c r="A61" s="5">
        <f>tbl_price_history!A61</f>
        <v>44895</v>
      </c>
      <c r="B61" s="3">
        <v>266.20999999999998</v>
      </c>
      <c r="C61" s="3">
        <v>9.0809999999999995</v>
      </c>
      <c r="D61" s="6">
        <f>B61*C61</f>
        <v>2417.4530099999997</v>
      </c>
    </row>
    <row r="62" spans="1:4">
      <c r="A62" s="5">
        <f>tbl_price_history!A62</f>
        <v>44926</v>
      </c>
      <c r="B62" s="3">
        <v>309.58999999999997</v>
      </c>
      <c r="C62" s="3">
        <v>9.0809999999999995</v>
      </c>
      <c r="D62" s="6">
        <f>B62*C62</f>
        <v>2811.3867899999996</v>
      </c>
    </row>
    <row r="63" spans="1:4">
      <c r="A63" s="5">
        <f>tbl_price_history!A63</f>
        <v>44957</v>
      </c>
      <c r="B63" s="3">
        <v>372.99</v>
      </c>
      <c r="C63" s="3">
        <v>9.0809999999999995</v>
      </c>
      <c r="D63" s="6">
        <f>B63*C63</f>
        <v>3387.12219</v>
      </c>
    </row>
    <row r="64" spans="1:4">
      <c r="A64" s="5">
        <f>tbl_price_history!A64</f>
        <v>44985</v>
      </c>
      <c r="B64" s="3">
        <v>335.32</v>
      </c>
      <c r="C64" s="3">
        <v>9.0809999999999995</v>
      </c>
      <c r="D64" s="6">
        <f>B64*C64</f>
        <v>3045.0409199999999</v>
      </c>
    </row>
    <row r="65" spans="1:4">
      <c r="A65" s="5">
        <f>tbl_price_history!A65</f>
        <v>45016</v>
      </c>
      <c r="B65" s="3">
        <v>376.51</v>
      </c>
      <c r="C65" s="3">
        <v>9.0809999999999995</v>
      </c>
      <c r="D65" s="6">
        <f>B65*C65</f>
        <v>3419.0873099999999</v>
      </c>
    </row>
    <row r="66" spans="1:4">
      <c r="A66" s="5">
        <f>tbl_price_history!A66</f>
        <v>45046</v>
      </c>
      <c r="B66" s="3">
        <v>336.11</v>
      </c>
      <c r="C66" s="3">
        <v>9.0809999999999995</v>
      </c>
      <c r="D66" s="6">
        <f>B66*C66</f>
        <v>3052.2149100000001</v>
      </c>
    </row>
    <row r="67" spans="1:4">
      <c r="A67" s="5">
        <f>tbl_price_history!A67</f>
        <v>45077</v>
      </c>
      <c r="B67" s="3">
        <v>303.12</v>
      </c>
      <c r="C67" s="3">
        <v>9.0809999999999995</v>
      </c>
      <c r="D67" s="6">
        <f>B67*C67</f>
        <v>2752.6327200000001</v>
      </c>
    </row>
    <row r="68" spans="1:4">
      <c r="A68" s="5">
        <f>tbl_price_history!A68</f>
        <v>45107</v>
      </c>
      <c r="B68" s="3">
        <v>325.92</v>
      </c>
      <c r="C68" s="3">
        <v>9.0809999999999995</v>
      </c>
      <c r="D68" s="6">
        <f>B68*C68</f>
        <v>2959.6795200000001</v>
      </c>
    </row>
    <row r="69" spans="1:4">
      <c r="A69" s="5">
        <f>tbl_price_history!A69</f>
        <v>45138</v>
      </c>
      <c r="B69" s="3">
        <v>348.32</v>
      </c>
      <c r="C69" s="3">
        <v>9.0809999999999995</v>
      </c>
      <c r="D69" s="6">
        <f>B69*C69</f>
        <v>3163.0939199999998</v>
      </c>
    </row>
    <row r="70" spans="1:4">
      <c r="A70" s="5">
        <f>tbl_price_history!A70</f>
        <v>45169</v>
      </c>
      <c r="B70" s="3">
        <v>319.43</v>
      </c>
      <c r="C70" s="3">
        <v>9.0809999999999995</v>
      </c>
      <c r="D70" s="6">
        <f>B70*C70</f>
        <v>2900.7438299999999</v>
      </c>
    </row>
    <row r="71" spans="1:4">
      <c r="A71" s="5">
        <f>tbl_price_history!A71</f>
        <v>45199</v>
      </c>
      <c r="B71" s="3">
        <v>300.95</v>
      </c>
      <c r="C71" s="3">
        <v>9.0809999999999995</v>
      </c>
      <c r="D71" s="6">
        <f>B71*C71</f>
        <v>2732.9269499999996</v>
      </c>
    </row>
    <row r="72" spans="1:4">
      <c r="A72" s="5">
        <f>tbl_price_history!A72</f>
        <v>45230</v>
      </c>
      <c r="B72" s="3">
        <v>284.24</v>
      </c>
      <c r="C72" s="3">
        <v>9.0809999999999995</v>
      </c>
      <c r="D72" s="6">
        <f>B72*C72</f>
        <v>2581.1834399999998</v>
      </c>
    </row>
    <row r="73" spans="1:4">
      <c r="A73" s="5">
        <f>tbl_price_history!A73</f>
        <v>45260</v>
      </c>
      <c r="B73" s="3">
        <v>321.39</v>
      </c>
      <c r="C73" s="3">
        <v>9.0809999999999995</v>
      </c>
      <c r="D73" s="6">
        <f>B73*C73</f>
        <v>2918.5425899999996</v>
      </c>
    </row>
    <row r="74" spans="1:4">
      <c r="A74" s="5">
        <f>tbl_price_history!A74</f>
        <v>45291</v>
      </c>
      <c r="B74" s="3">
        <v>288.57</v>
      </c>
      <c r="C74" s="3">
        <v>9.0809999999999995</v>
      </c>
      <c r="D74" s="6">
        <f>B74*C74</f>
        <v>2620.5041699999997</v>
      </c>
    </row>
    <row r="75" spans="1:4">
      <c r="A75" s="5">
        <f>tbl_price_history!A75</f>
        <v>45322</v>
      </c>
      <c r="B75" s="3">
        <v>265.95999999999998</v>
      </c>
      <c r="C75" s="3">
        <v>9.0809999999999995</v>
      </c>
      <c r="D75" s="6">
        <f>B75*C75</f>
        <v>2415.1827599999997</v>
      </c>
    </row>
    <row r="76" spans="1:4">
      <c r="A76" s="5">
        <f>tbl_price_history!A76</f>
        <v>45351</v>
      </c>
      <c r="B76" s="3">
        <v>272.45</v>
      </c>
      <c r="C76" s="3">
        <v>9.0809999999999995</v>
      </c>
      <c r="D76" s="6">
        <f>B76*C76</f>
        <v>2474.1184499999999</v>
      </c>
    </row>
    <row r="77" spans="1:4">
      <c r="A77" s="5">
        <f>tbl_price_history!A77</f>
        <v>45382</v>
      </c>
      <c r="B77" s="3">
        <v>298.58999999999997</v>
      </c>
      <c r="C77" s="3">
        <v>9.0809999999999995</v>
      </c>
      <c r="D77" s="6">
        <f>B77*C77</f>
        <v>2711.4957899999995</v>
      </c>
    </row>
    <row r="78" spans="1:4">
      <c r="A78" s="5">
        <f>tbl_price_history!A78</f>
        <v>45412</v>
      </c>
      <c r="B78" s="3">
        <v>341.25</v>
      </c>
      <c r="C78" s="3">
        <v>9.0809999999999995</v>
      </c>
      <c r="D78" s="6">
        <f>B78*C78</f>
        <v>3098.8912499999997</v>
      </c>
    </row>
    <row r="79" spans="1:4">
      <c r="A79" s="5">
        <f>tbl_price_history!A79</f>
        <v>45443</v>
      </c>
      <c r="B79" s="3">
        <v>353.63</v>
      </c>
      <c r="C79" s="3">
        <v>9.0809999999999995</v>
      </c>
      <c r="D79" s="6">
        <f>B79*C79</f>
        <v>3211.31403</v>
      </c>
    </row>
    <row r="80" spans="1:4">
      <c r="A80" s="5">
        <f>tbl_price_history!A80</f>
        <v>45473</v>
      </c>
      <c r="B80" s="3">
        <v>369.18</v>
      </c>
      <c r="C80" s="3">
        <v>9.0809999999999995</v>
      </c>
      <c r="D80" s="6">
        <f>B80*C80</f>
        <v>3352.52358</v>
      </c>
    </row>
    <row r="81" spans="1:4">
      <c r="A81" s="5">
        <f>tbl_price_history!A81</f>
        <v>45504</v>
      </c>
      <c r="B81" s="3">
        <v>359.07</v>
      </c>
      <c r="C81" s="3">
        <v>9.0809999999999995</v>
      </c>
      <c r="D81" s="6">
        <f>B81*C81</f>
        <v>3260.7146699999998</v>
      </c>
    </row>
    <row r="82" spans="1:4">
      <c r="A82" s="5">
        <f>tbl_price_history!A82</f>
        <v>45535</v>
      </c>
      <c r="B82" s="3">
        <v>378.69</v>
      </c>
      <c r="C82" s="3">
        <v>9.0809999999999995</v>
      </c>
      <c r="D82" s="6">
        <f>B82*C82</f>
        <v>3438.8838899999996</v>
      </c>
    </row>
    <row r="83" spans="1:4">
      <c r="A83" s="5">
        <f>tbl_price_history!A83</f>
        <v>45565</v>
      </c>
      <c r="B83" s="3">
        <v>440.75</v>
      </c>
      <c r="C83" s="3">
        <v>9.0809999999999995</v>
      </c>
      <c r="D83" s="6">
        <f>B83*C83</f>
        <v>4002.45075</v>
      </c>
    </row>
    <row r="84" spans="1:4">
      <c r="A84" s="5">
        <f>tbl_price_history!A84</f>
        <v>45596</v>
      </c>
      <c r="B84" s="3">
        <v>401.1</v>
      </c>
      <c r="C84" s="3">
        <v>9.0809999999999995</v>
      </c>
      <c r="D84" s="6">
        <f>B84*C84</f>
        <v>3642.3890999999999</v>
      </c>
    </row>
    <row r="85" spans="1:4">
      <c r="A85" s="5">
        <f>tbl_price_history!A85</f>
        <v>45626</v>
      </c>
      <c r="B85" s="3">
        <v>394.56</v>
      </c>
      <c r="C85" s="3">
        <v>9.0809999999999995</v>
      </c>
      <c r="D85" s="6">
        <f>B85*C85</f>
        <v>3582.9993599999998</v>
      </c>
    </row>
    <row r="86" spans="1:4">
      <c r="A86" s="5">
        <f>tbl_price_history!A86</f>
        <v>45657</v>
      </c>
      <c r="B86" s="3">
        <v>416.17</v>
      </c>
      <c r="C86" s="3">
        <v>9.0809999999999995</v>
      </c>
      <c r="D86" s="6">
        <f>B86*C86</f>
        <v>3779.2397700000001</v>
      </c>
    </row>
    <row r="87" spans="1:4">
      <c r="A87" s="5">
        <f>tbl_price_history!A87</f>
        <v>45688</v>
      </c>
      <c r="B87" s="3">
        <v>398.52</v>
      </c>
      <c r="C87" s="3">
        <v>9.0809999999999995</v>
      </c>
      <c r="D87" s="6">
        <f>B87*C87</f>
        <v>3618.9601199999997</v>
      </c>
    </row>
    <row r="88" spans="1:4">
      <c r="A88" s="5">
        <f>tbl_price_history!A88</f>
        <v>45716</v>
      </c>
      <c r="B88" s="3">
        <v>474.46</v>
      </c>
      <c r="C88" s="3">
        <v>9.0809999999999995</v>
      </c>
      <c r="D88" s="6">
        <f>B88*C88</f>
        <v>4308.5712599999997</v>
      </c>
    </row>
    <row r="89" spans="1:4">
      <c r="A89" s="5">
        <f>tbl_price_history!A89</f>
        <v>45747</v>
      </c>
      <c r="B89" s="3">
        <v>492.7</v>
      </c>
      <c r="C89" s="3">
        <v>9.0809999999999995</v>
      </c>
      <c r="D89" s="6">
        <f>B89*C89</f>
        <v>4474.2086999999992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89"/>
  <sheetViews>
    <sheetView workbookViewId="0">
      <selection activeCell="A5" sqref="A5"/>
    </sheetView>
  </sheetViews>
  <sheetFormatPr defaultRowHeight="15"/>
  <cols>
    <col min="1" max="1" width="14.140625" style="22" bestFit="1" customWidth="1"/>
    <col min="2" max="2" width="15" style="22" bestFit="1" customWidth="1"/>
    <col min="3" max="3" width="14.85546875" style="22" bestFit="1" customWidth="1"/>
  </cols>
  <sheetData>
    <row r="3" spans="1:3" ht="18.75" customHeight="1">
      <c r="A3" s="11" t="s">
        <v>14</v>
      </c>
    </row>
    <row r="5" spans="1:3" ht="21" customHeight="1">
      <c r="A5" s="13" t="s">
        <v>7</v>
      </c>
      <c r="B5" s="13" t="s">
        <v>15</v>
      </c>
      <c r="C5" s="13" t="s">
        <v>16</v>
      </c>
    </row>
    <row r="6" spans="1:3">
      <c r="A6" s="4">
        <f>tbl_price_history!A6</f>
        <v>43220</v>
      </c>
      <c r="B6" s="22">
        <v>1.59</v>
      </c>
      <c r="C6" s="22">
        <v>12.46</v>
      </c>
    </row>
    <row r="7" spans="1:3">
      <c r="A7" s="4">
        <f>tbl_price_history!A7</f>
        <v>43251</v>
      </c>
      <c r="B7" s="22">
        <v>1.62</v>
      </c>
      <c r="C7" s="22">
        <v>12.7</v>
      </c>
    </row>
    <row r="8" spans="1:3">
      <c r="A8" s="4">
        <f>tbl_price_history!A8</f>
        <v>43281</v>
      </c>
      <c r="B8" s="22">
        <v>1.75</v>
      </c>
      <c r="C8" s="22">
        <v>13.72</v>
      </c>
    </row>
    <row r="9" spans="1:3">
      <c r="A9" s="4">
        <f>tbl_price_history!A9</f>
        <v>43312</v>
      </c>
      <c r="B9" s="22">
        <v>1.69</v>
      </c>
      <c r="C9" s="22">
        <v>13.27</v>
      </c>
    </row>
    <row r="10" spans="1:3">
      <c r="A10" s="4">
        <f>tbl_price_history!A10</f>
        <v>43343</v>
      </c>
      <c r="B10" s="22">
        <v>1.87</v>
      </c>
      <c r="C10" s="22">
        <v>14.68</v>
      </c>
    </row>
    <row r="11" spans="1:3">
      <c r="A11" s="4">
        <f>tbl_price_history!A11</f>
        <v>43373</v>
      </c>
      <c r="B11" s="22">
        <v>1.81</v>
      </c>
      <c r="C11" s="22">
        <v>14.14</v>
      </c>
    </row>
    <row r="12" spans="1:3">
      <c r="A12" s="4">
        <f>tbl_price_history!A12</f>
        <v>43404</v>
      </c>
      <c r="B12" s="22">
        <v>1.89</v>
      </c>
      <c r="C12" s="22">
        <v>14.78</v>
      </c>
    </row>
    <row r="13" spans="1:3">
      <c r="A13" s="4">
        <f>tbl_price_history!A13</f>
        <v>43434</v>
      </c>
      <c r="B13" s="22">
        <v>1.77</v>
      </c>
      <c r="C13" s="22">
        <v>13.86</v>
      </c>
    </row>
    <row r="14" spans="1:3">
      <c r="A14" s="4">
        <f>tbl_price_history!A14</f>
        <v>43465</v>
      </c>
      <c r="B14" s="22">
        <v>1.83</v>
      </c>
      <c r="C14" s="22">
        <v>14.35</v>
      </c>
    </row>
    <row r="15" spans="1:3">
      <c r="A15" s="4">
        <f>tbl_price_history!A15</f>
        <v>43496</v>
      </c>
      <c r="B15" s="22">
        <v>1.69</v>
      </c>
      <c r="C15" s="22">
        <v>13.25</v>
      </c>
    </row>
    <row r="16" spans="1:3">
      <c r="A16" s="4">
        <f>tbl_price_history!A16</f>
        <v>43524</v>
      </c>
      <c r="B16" s="22">
        <v>1.79</v>
      </c>
      <c r="C16" s="22">
        <v>14.08</v>
      </c>
    </row>
    <row r="17" spans="1:3">
      <c r="A17" s="4">
        <f>tbl_price_history!A17</f>
        <v>43555</v>
      </c>
      <c r="B17" s="22">
        <v>1.84</v>
      </c>
      <c r="C17" s="22">
        <v>14.48</v>
      </c>
    </row>
    <row r="18" spans="1:3">
      <c r="A18" s="4">
        <f>tbl_price_history!A18</f>
        <v>43585</v>
      </c>
      <c r="B18" s="22">
        <v>1.82</v>
      </c>
      <c r="C18" s="22">
        <v>14.29</v>
      </c>
    </row>
    <row r="19" spans="1:3">
      <c r="A19" s="4">
        <f>tbl_price_history!A19</f>
        <v>43616</v>
      </c>
      <c r="B19" s="22">
        <v>1.86</v>
      </c>
      <c r="C19" s="22">
        <v>14.58</v>
      </c>
    </row>
    <row r="20" spans="1:3">
      <c r="A20" s="4">
        <f>tbl_price_history!A20</f>
        <v>43646</v>
      </c>
      <c r="B20" s="22">
        <v>1.8</v>
      </c>
      <c r="C20" s="22">
        <v>14.07</v>
      </c>
    </row>
    <row r="21" spans="1:3">
      <c r="A21" s="4">
        <f>tbl_price_history!A21</f>
        <v>43677</v>
      </c>
      <c r="B21" s="22">
        <v>1.83</v>
      </c>
      <c r="C21" s="22">
        <v>14.34</v>
      </c>
    </row>
    <row r="22" spans="1:3">
      <c r="A22" s="4">
        <f>tbl_price_history!A22</f>
        <v>43708</v>
      </c>
      <c r="B22" s="22">
        <v>1.94</v>
      </c>
      <c r="C22" s="22">
        <v>15.18</v>
      </c>
    </row>
    <row r="23" spans="1:3">
      <c r="A23" s="4">
        <f>tbl_price_history!A23</f>
        <v>43738</v>
      </c>
      <c r="B23" s="22">
        <v>1.93</v>
      </c>
      <c r="C23" s="22">
        <v>15.13</v>
      </c>
    </row>
    <row r="24" spans="1:3">
      <c r="A24" s="4">
        <f>tbl_price_history!A24</f>
        <v>43769</v>
      </c>
      <c r="B24" s="22">
        <v>1.93</v>
      </c>
      <c r="C24" s="22">
        <v>15.09</v>
      </c>
    </row>
    <row r="25" spans="1:3">
      <c r="A25" s="4">
        <f>tbl_price_history!A25</f>
        <v>43799</v>
      </c>
      <c r="B25" s="22">
        <v>1.87</v>
      </c>
      <c r="C25" s="22">
        <v>14.64</v>
      </c>
    </row>
    <row r="26" spans="1:3">
      <c r="A26" s="4">
        <f>tbl_price_history!A26</f>
        <v>43830</v>
      </c>
      <c r="B26" s="22">
        <v>1.8</v>
      </c>
      <c r="C26" s="22">
        <v>14</v>
      </c>
    </row>
    <row r="27" spans="1:3">
      <c r="A27" s="4">
        <f>tbl_price_history!A27</f>
        <v>43861</v>
      </c>
      <c r="B27" s="22">
        <v>1.93</v>
      </c>
      <c r="C27" s="22">
        <v>15</v>
      </c>
    </row>
    <row r="28" spans="1:3">
      <c r="A28" s="4">
        <f>tbl_price_history!A28</f>
        <v>43890</v>
      </c>
      <c r="B28" s="22">
        <v>2.0099999999999998</v>
      </c>
      <c r="C28" s="22">
        <v>15.66</v>
      </c>
    </row>
    <row r="29" spans="1:3">
      <c r="A29" s="4">
        <f>tbl_price_history!A29</f>
        <v>43921</v>
      </c>
      <c r="B29" s="22">
        <v>2.2999999999999998</v>
      </c>
      <c r="C29" s="22">
        <v>17.84</v>
      </c>
    </row>
    <row r="30" spans="1:3">
      <c r="A30" s="4">
        <f>tbl_price_history!A30</f>
        <v>43951</v>
      </c>
      <c r="B30" s="22">
        <v>2.39</v>
      </c>
      <c r="C30" s="22">
        <v>18.510000000000002</v>
      </c>
    </row>
    <row r="31" spans="1:3">
      <c r="A31" s="4">
        <f>tbl_price_history!A31</f>
        <v>43982</v>
      </c>
      <c r="B31" s="22">
        <v>2.2599999999999998</v>
      </c>
      <c r="C31" s="22">
        <v>17.54</v>
      </c>
    </row>
    <row r="32" spans="1:3">
      <c r="A32" s="4">
        <f>tbl_price_history!A32</f>
        <v>44012</v>
      </c>
      <c r="B32" s="22">
        <v>2.23</v>
      </c>
      <c r="C32" s="22">
        <v>17.32</v>
      </c>
    </row>
    <row r="33" spans="1:3">
      <c r="A33" s="4">
        <f>tbl_price_history!A33</f>
        <v>44043</v>
      </c>
      <c r="B33" s="22">
        <v>2.2000000000000002</v>
      </c>
      <c r="C33" s="22">
        <v>17.010000000000002</v>
      </c>
    </row>
    <row r="34" spans="1:3">
      <c r="A34" s="4">
        <f>tbl_price_history!A34</f>
        <v>44074</v>
      </c>
      <c r="B34" s="22">
        <v>2.19</v>
      </c>
      <c r="C34" s="22">
        <v>16.940000000000001</v>
      </c>
    </row>
    <row r="35" spans="1:3">
      <c r="A35" s="4">
        <f>tbl_price_history!A35</f>
        <v>44104</v>
      </c>
      <c r="B35" s="22">
        <v>2.16</v>
      </c>
      <c r="C35" s="22">
        <v>16.73</v>
      </c>
    </row>
    <row r="36" spans="1:3">
      <c r="A36" s="4">
        <f>tbl_price_history!A36</f>
        <v>44135</v>
      </c>
      <c r="B36" s="22">
        <v>2.1</v>
      </c>
      <c r="C36" s="22">
        <v>16.239999999999998</v>
      </c>
    </row>
    <row r="37" spans="1:3">
      <c r="A37" s="4">
        <f>tbl_price_history!A37</f>
        <v>44165</v>
      </c>
      <c r="B37" s="22">
        <v>1.96</v>
      </c>
      <c r="C37" s="22">
        <v>15.47</v>
      </c>
    </row>
    <row r="38" spans="1:3">
      <c r="A38" s="4">
        <f>tbl_price_history!A38</f>
        <v>44196</v>
      </c>
      <c r="B38" s="22">
        <v>1.89</v>
      </c>
      <c r="C38" s="22">
        <v>14.69</v>
      </c>
    </row>
    <row r="39" spans="1:3">
      <c r="A39" s="4">
        <f>tbl_price_history!A39</f>
        <v>44227</v>
      </c>
      <c r="B39" s="22">
        <v>1.96</v>
      </c>
      <c r="C39" s="22">
        <v>15.16</v>
      </c>
    </row>
    <row r="40" spans="1:3">
      <c r="A40" s="4">
        <f>tbl_price_history!A40</f>
        <v>44255</v>
      </c>
      <c r="B40" s="22">
        <v>1.95</v>
      </c>
      <c r="C40" s="22">
        <v>15.09</v>
      </c>
    </row>
    <row r="41" spans="1:3">
      <c r="A41" s="4">
        <f>tbl_price_history!A41</f>
        <v>44286</v>
      </c>
      <c r="B41" s="22">
        <v>1.9</v>
      </c>
      <c r="C41" s="22">
        <v>14.77</v>
      </c>
    </row>
    <row r="42" spans="1:3">
      <c r="A42" s="4">
        <f>tbl_price_history!A42</f>
        <v>44316</v>
      </c>
      <c r="B42" s="22">
        <v>1.87</v>
      </c>
      <c r="C42" s="22">
        <v>14.49</v>
      </c>
    </row>
    <row r="43" spans="1:3">
      <c r="A43" s="4">
        <f>tbl_price_history!A43</f>
        <v>44347</v>
      </c>
      <c r="B43" s="22">
        <v>1.77</v>
      </c>
      <c r="C43" s="22">
        <v>13.72</v>
      </c>
    </row>
    <row r="44" spans="1:3">
      <c r="A44" s="4">
        <f>tbl_price_history!A44</f>
        <v>44377</v>
      </c>
      <c r="B44" s="22">
        <v>1.84</v>
      </c>
      <c r="C44" s="22">
        <v>14.27</v>
      </c>
    </row>
    <row r="45" spans="1:3">
      <c r="A45" s="4">
        <f>tbl_price_history!A45</f>
        <v>44408</v>
      </c>
      <c r="B45" s="22">
        <v>1.87</v>
      </c>
      <c r="C45" s="22">
        <v>14.56</v>
      </c>
    </row>
    <row r="46" spans="1:3">
      <c r="A46" s="4">
        <f>tbl_price_history!A46</f>
        <v>44439</v>
      </c>
      <c r="B46" s="22">
        <v>1.87</v>
      </c>
      <c r="C46" s="22">
        <v>14.51</v>
      </c>
    </row>
    <row r="47" spans="1:3">
      <c r="A47" s="4">
        <f>tbl_price_history!A47</f>
        <v>44469</v>
      </c>
      <c r="B47" s="22">
        <v>1.94</v>
      </c>
      <c r="C47" s="22">
        <v>15.09</v>
      </c>
    </row>
    <row r="48" spans="1:3">
      <c r="A48" s="4">
        <f>tbl_price_history!A48</f>
        <v>44500</v>
      </c>
      <c r="B48" s="22">
        <v>1.95</v>
      </c>
      <c r="C48" s="22">
        <v>15.2</v>
      </c>
    </row>
    <row r="49" spans="1:3">
      <c r="A49" s="4">
        <f>tbl_price_history!A49</f>
        <v>44530</v>
      </c>
      <c r="B49" s="22">
        <v>2.04</v>
      </c>
      <c r="C49" s="22">
        <v>15.87</v>
      </c>
    </row>
    <row r="50" spans="1:3">
      <c r="A50" s="4">
        <f>tbl_price_history!A50</f>
        <v>44561</v>
      </c>
      <c r="B50" s="22">
        <v>2.0499999999999998</v>
      </c>
      <c r="C50" s="22">
        <v>15.99</v>
      </c>
    </row>
    <row r="51" spans="1:3">
      <c r="A51" s="4">
        <f>tbl_price_history!A51</f>
        <v>44592</v>
      </c>
      <c r="B51" s="22">
        <v>1.97</v>
      </c>
      <c r="C51" s="22">
        <v>15.38</v>
      </c>
    </row>
    <row r="52" spans="1:3">
      <c r="A52" s="4">
        <f>tbl_price_history!A52</f>
        <v>44620</v>
      </c>
      <c r="B52" s="22">
        <v>1.97</v>
      </c>
      <c r="C52" s="22">
        <v>15.36</v>
      </c>
    </row>
    <row r="53" spans="1:3">
      <c r="A53" s="4">
        <f>tbl_price_history!A53</f>
        <v>44651</v>
      </c>
      <c r="B53" s="22">
        <v>1.87</v>
      </c>
      <c r="C53" s="22">
        <v>14.6</v>
      </c>
    </row>
    <row r="54" spans="1:3">
      <c r="A54" s="4">
        <f>tbl_price_history!A54</f>
        <v>44681</v>
      </c>
      <c r="B54" s="22">
        <v>2.0099999999999998</v>
      </c>
      <c r="C54" s="22">
        <v>15.81</v>
      </c>
    </row>
    <row r="55" spans="1:3">
      <c r="A55" s="4">
        <f>tbl_price_history!A55</f>
        <v>44712</v>
      </c>
      <c r="B55" s="22">
        <v>1.99</v>
      </c>
      <c r="C55" s="22">
        <v>15.63</v>
      </c>
    </row>
    <row r="56" spans="1:3">
      <c r="A56" s="4">
        <f>tbl_price_history!A56</f>
        <v>44742</v>
      </c>
      <c r="B56" s="22">
        <v>2.0699999999999998</v>
      </c>
      <c r="C56" s="22">
        <v>16.27</v>
      </c>
    </row>
    <row r="57" spans="1:3">
      <c r="A57" s="4">
        <f>tbl_price_history!A57</f>
        <v>44773</v>
      </c>
      <c r="B57" s="22">
        <v>2.12</v>
      </c>
      <c r="C57" s="22">
        <v>16.64</v>
      </c>
    </row>
    <row r="58" spans="1:3">
      <c r="A58" s="4">
        <f>tbl_price_history!A58</f>
        <v>44804</v>
      </c>
      <c r="B58" s="22">
        <v>2.1800000000000002</v>
      </c>
      <c r="C58" s="22">
        <v>17.11</v>
      </c>
    </row>
    <row r="59" spans="1:3">
      <c r="A59" s="4">
        <f>tbl_price_history!A59</f>
        <v>44834</v>
      </c>
      <c r="B59" s="22">
        <v>2.31</v>
      </c>
      <c r="C59" s="22">
        <v>18.149999999999999</v>
      </c>
    </row>
    <row r="60" spans="1:3">
      <c r="A60" s="4">
        <f>tbl_price_history!A60</f>
        <v>44865</v>
      </c>
      <c r="B60" s="22">
        <v>2.33</v>
      </c>
      <c r="C60" s="22">
        <v>17.170000000000002</v>
      </c>
    </row>
    <row r="61" spans="1:3">
      <c r="A61" s="4">
        <f>tbl_price_history!A61</f>
        <v>44895</v>
      </c>
      <c r="B61" s="22">
        <v>2.2000000000000002</v>
      </c>
      <c r="C61" s="22">
        <v>17</v>
      </c>
    </row>
    <row r="62" spans="1:3">
      <c r="A62" s="4">
        <f>tbl_price_history!A62</f>
        <v>44926</v>
      </c>
      <c r="B62" s="22">
        <v>2.1800000000000002</v>
      </c>
      <c r="C62" s="22">
        <v>17</v>
      </c>
    </row>
    <row r="63" spans="1:3">
      <c r="A63" s="4">
        <f>tbl_price_history!A63</f>
        <v>44957</v>
      </c>
      <c r="B63" s="22">
        <v>2.2200000000000002</v>
      </c>
      <c r="C63" s="22">
        <v>17.399999999999999</v>
      </c>
    </row>
    <row r="64" spans="1:3">
      <c r="A64" s="4">
        <f>tbl_price_history!A64</f>
        <v>44985</v>
      </c>
      <c r="B64" s="22">
        <v>2.34</v>
      </c>
      <c r="C64" s="22">
        <v>18.350000000000001</v>
      </c>
    </row>
    <row r="65" spans="1:3">
      <c r="A65" s="4">
        <f>tbl_price_history!A65</f>
        <v>45016</v>
      </c>
      <c r="B65" s="22">
        <v>2.27</v>
      </c>
      <c r="C65" s="22">
        <v>17.78</v>
      </c>
    </row>
    <row r="66" spans="1:3">
      <c r="A66" s="4">
        <f>tbl_price_history!A66</f>
        <v>45046</v>
      </c>
      <c r="B66" s="22">
        <v>2.33</v>
      </c>
      <c r="C66" s="22">
        <v>18.27</v>
      </c>
    </row>
    <row r="67" spans="1:3">
      <c r="A67" s="4">
        <f>tbl_price_history!A67</f>
        <v>45077</v>
      </c>
      <c r="B67" s="22">
        <v>2.52</v>
      </c>
      <c r="C67" s="22">
        <v>19.72</v>
      </c>
    </row>
    <row r="68" spans="1:3">
      <c r="A68" s="4">
        <f>tbl_price_history!A68</f>
        <v>45107</v>
      </c>
      <c r="B68" s="22">
        <v>2.4</v>
      </c>
      <c r="C68" s="22">
        <v>18.829999999999998</v>
      </c>
    </row>
    <row r="69" spans="1:3">
      <c r="A69" s="4">
        <f>tbl_price_history!A69</f>
        <v>45138</v>
      </c>
      <c r="B69" s="22">
        <v>2.29</v>
      </c>
      <c r="C69" s="22">
        <v>17.850000000000001</v>
      </c>
    </row>
    <row r="70" spans="1:3">
      <c r="A70" s="4">
        <f>tbl_price_history!A70</f>
        <v>45169</v>
      </c>
      <c r="B70" s="22">
        <v>2.41</v>
      </c>
      <c r="C70" s="22">
        <v>18.87</v>
      </c>
    </row>
    <row r="71" spans="1:3">
      <c r="A71" s="4">
        <f>tbl_price_history!A71</f>
        <v>45199</v>
      </c>
      <c r="B71" s="22">
        <v>2.42</v>
      </c>
      <c r="C71" s="22">
        <v>18.920000000000002</v>
      </c>
    </row>
    <row r="72" spans="1:3">
      <c r="A72" s="4">
        <f>tbl_price_history!A72</f>
        <v>45230</v>
      </c>
      <c r="B72" s="22">
        <v>2.38</v>
      </c>
      <c r="C72" s="22">
        <v>18.64</v>
      </c>
    </row>
    <row r="73" spans="1:3">
      <c r="A73" s="4">
        <f>tbl_price_history!A73</f>
        <v>45260</v>
      </c>
      <c r="B73" s="22">
        <v>2.41</v>
      </c>
      <c r="C73" s="22">
        <v>18.850000000000001</v>
      </c>
    </row>
    <row r="74" spans="1:3">
      <c r="A74" s="4">
        <f>tbl_price_history!A74</f>
        <v>45291</v>
      </c>
      <c r="B74" s="22">
        <v>2.34</v>
      </c>
      <c r="C74" s="22">
        <v>18.28</v>
      </c>
    </row>
    <row r="75" spans="1:3">
      <c r="A75" s="4">
        <f>tbl_price_history!A75</f>
        <v>45322</v>
      </c>
      <c r="B75" s="22">
        <v>2.39</v>
      </c>
      <c r="C75" s="22">
        <v>18.670000000000002</v>
      </c>
    </row>
    <row r="76" spans="1:3">
      <c r="A76" s="4">
        <f>tbl_price_history!A76</f>
        <v>45351</v>
      </c>
      <c r="B76" s="22">
        <v>2.4500000000000002</v>
      </c>
      <c r="C76" s="22">
        <v>19.21</v>
      </c>
    </row>
    <row r="77" spans="1:3">
      <c r="A77" s="4">
        <f>tbl_price_history!A77</f>
        <v>45382</v>
      </c>
      <c r="B77" s="22">
        <v>2.41</v>
      </c>
      <c r="C77" s="22">
        <v>18.920000000000002</v>
      </c>
    </row>
    <row r="78" spans="1:3">
      <c r="A78" s="4">
        <f>tbl_price_history!A78</f>
        <v>45412</v>
      </c>
      <c r="B78" s="22">
        <v>2.4</v>
      </c>
      <c r="C78" s="22">
        <v>18.760000000000002</v>
      </c>
    </row>
    <row r="79" spans="1:3">
      <c r="A79" s="4">
        <f>tbl_price_history!A79</f>
        <v>45443</v>
      </c>
      <c r="B79" s="22">
        <v>2.41</v>
      </c>
      <c r="C79" s="22">
        <v>18.809999999999999</v>
      </c>
    </row>
    <row r="80" spans="1:3">
      <c r="A80" s="4">
        <f>tbl_price_history!A80</f>
        <v>45473</v>
      </c>
      <c r="B80" s="22">
        <v>2.33</v>
      </c>
      <c r="C80" s="22">
        <v>18.190000000000001</v>
      </c>
    </row>
    <row r="81" spans="1:3">
      <c r="A81" s="4">
        <f>tbl_price_history!A81</f>
        <v>45504</v>
      </c>
      <c r="B81" s="22">
        <v>2.33</v>
      </c>
      <c r="C81" s="22">
        <v>18.2</v>
      </c>
    </row>
    <row r="82" spans="1:3">
      <c r="A82" s="4">
        <f>tbl_price_history!A82</f>
        <v>45535</v>
      </c>
      <c r="B82" s="22">
        <v>2.29</v>
      </c>
      <c r="C82" s="22">
        <v>17.82</v>
      </c>
    </row>
    <row r="83" spans="1:3">
      <c r="A83" s="4">
        <f>tbl_price_history!A83</f>
        <v>45565</v>
      </c>
      <c r="B83" s="22">
        <v>2.2200000000000002</v>
      </c>
      <c r="C83" s="22">
        <v>17.260000000000002</v>
      </c>
    </row>
    <row r="84" spans="1:3">
      <c r="A84" s="4">
        <f>tbl_price_history!A84</f>
        <v>45596</v>
      </c>
      <c r="B84" s="22">
        <v>2.2599999999999998</v>
      </c>
      <c r="C84" s="22">
        <v>17.559999999999999</v>
      </c>
    </row>
    <row r="85" spans="1:3">
      <c r="A85" s="4">
        <f>tbl_price_history!A85</f>
        <v>45626</v>
      </c>
      <c r="B85" s="22">
        <v>2.3199999999999998</v>
      </c>
      <c r="C85" s="22">
        <v>18.05</v>
      </c>
    </row>
    <row r="86" spans="1:3">
      <c r="A86" s="4">
        <f>tbl_price_history!A86</f>
        <v>45657</v>
      </c>
      <c r="B86" s="22">
        <v>2.4300000000000002</v>
      </c>
      <c r="C86" s="22">
        <v>18.850000000000001</v>
      </c>
    </row>
    <row r="87" spans="1:3">
      <c r="A87" s="4">
        <f>tbl_price_history!A87</f>
        <v>45688</v>
      </c>
      <c r="B87" s="22">
        <v>2.4</v>
      </c>
      <c r="C87" s="22">
        <v>18.670000000000002</v>
      </c>
    </row>
    <row r="88" spans="1:3">
      <c r="A88" s="4">
        <f>tbl_price_history!A88</f>
        <v>45716</v>
      </c>
      <c r="B88" s="22">
        <v>2.4</v>
      </c>
      <c r="C88" s="22">
        <v>18.690000000000001</v>
      </c>
    </row>
    <row r="89" spans="1:3">
      <c r="A89" s="4">
        <f>tbl_price_history!A89</f>
        <v>45747</v>
      </c>
      <c r="B89" s="22">
        <v>2.35</v>
      </c>
      <c r="C89" s="22">
        <v>18.309999999999999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N89"/>
  <sheetViews>
    <sheetView topLeftCell="H4" workbookViewId="0">
      <selection activeCell="M7" sqref="M7"/>
    </sheetView>
  </sheetViews>
  <sheetFormatPr defaultRowHeight="15"/>
  <cols>
    <col min="1" max="1" width="25.5703125" style="22" bestFit="1" customWidth="1"/>
    <col min="2" max="2" width="29" style="22" customWidth="1"/>
    <col min="3" max="3" width="25.5703125" style="22" customWidth="1"/>
    <col min="4" max="4" width="18.7109375" style="22" bestFit="1" customWidth="1"/>
    <col min="5" max="5" width="28.5703125" style="22" customWidth="1"/>
    <col min="6" max="6" width="36.5703125" style="22" bestFit="1" customWidth="1"/>
    <col min="7" max="7" width="31.42578125" style="22" bestFit="1" customWidth="1"/>
    <col min="8" max="8" width="22.140625" style="22" bestFit="1" customWidth="1"/>
    <col min="9" max="9" width="13.7109375" style="22" bestFit="1" customWidth="1"/>
    <col min="10" max="10" width="22" style="22" bestFit="1" customWidth="1"/>
    <col min="11" max="11" width="16.28515625" style="22" bestFit="1" customWidth="1"/>
    <col min="12" max="12" width="30.5703125" style="22" bestFit="1" customWidth="1"/>
    <col min="13" max="13" width="36.5703125" style="22" bestFit="1" customWidth="1"/>
    <col min="14" max="14" width="21.5703125" style="22" bestFit="1" customWidth="1"/>
  </cols>
  <sheetData>
    <row r="3" spans="1:14" ht="18.75" customHeight="1">
      <c r="A3" s="11" t="s">
        <v>17</v>
      </c>
    </row>
    <row r="5" spans="1:14" ht="18.75" customHeight="1">
      <c r="A5" s="15" t="s">
        <v>7</v>
      </c>
      <c r="B5" s="15" t="s">
        <v>18</v>
      </c>
      <c r="C5" s="15" t="s">
        <v>15</v>
      </c>
      <c r="D5" s="15" t="s">
        <v>19</v>
      </c>
      <c r="E5" s="16" t="s">
        <v>20</v>
      </c>
      <c r="F5" s="15" t="s">
        <v>21</v>
      </c>
      <c r="G5" s="15" t="s">
        <v>22</v>
      </c>
      <c r="H5" s="15" t="s">
        <v>23</v>
      </c>
      <c r="I5" s="15" t="s">
        <v>16</v>
      </c>
      <c r="J5" s="15" t="s">
        <v>24</v>
      </c>
      <c r="K5" s="15" t="s">
        <v>25</v>
      </c>
      <c r="L5" s="15" t="s">
        <v>26</v>
      </c>
      <c r="M5" s="15" t="s">
        <v>27</v>
      </c>
      <c r="N5" s="15" t="s">
        <v>28</v>
      </c>
    </row>
    <row r="6" spans="1:14">
      <c r="A6" s="5">
        <f>tbl_price_history!A6</f>
        <v>43220</v>
      </c>
      <c r="B6" s="14">
        <f>_xlfn.XLOOKUP(A6,tbl_tencent_market_data[Date],tbl_tencent_market_data[Market Cap (HKD B)])</f>
        <v>3143.0249100000001</v>
      </c>
      <c r="C6" s="1">
        <f>_xlfn.XLOOKUP(A6,tbl_fx_rates_data[Date],tbl_fx_rates_data[HKD_ZAR])</f>
        <v>1.59</v>
      </c>
      <c r="D6" s="3">
        <f>YEAR(EDATE(A6,9))</f>
        <v>2019</v>
      </c>
      <c r="E6" s="6">
        <f>B6*C6</f>
        <v>4997.4096069000007</v>
      </c>
      <c r="F6" s="14">
        <f>_xlfn.XLOOKUP(D6,tbl_ownership[Fiscal_Year],tbl_ownership[Ownership_%])</f>
        <v>0.31</v>
      </c>
      <c r="G6" s="6">
        <f>E6*F6</f>
        <v>1549.1969781390003</v>
      </c>
      <c r="H6" s="3">
        <f>_xlfn.XLOOKUP(D6,tbl_netdebt[Fiscal_Year],tbl_netdebt[Net_debt_USD_B],0)</f>
        <v>-9.1</v>
      </c>
      <c r="I6" s="3">
        <f>_xlfn.XLOOKUP(A6,tbl_fx_rates_data[Date],tbl_fx_rates_data[USD_ZAR])</f>
        <v>12.46</v>
      </c>
      <c r="J6" s="6">
        <f>H6*I6</f>
        <v>-113.38600000000001</v>
      </c>
      <c r="K6" s="6">
        <f>G6-J6</f>
        <v>1662.5829781390003</v>
      </c>
      <c r="L6" s="6">
        <f>_xlfn.XLOOKUP(Table6[[#This Row],[Date]],tbl_naspers_price_data[Date],tbl_naspers_price_data[Market Cap (ZAR B)])</f>
        <v>823.08680000000004</v>
      </c>
      <c r="M6" s="17">
        <f>1-(L6/K6)</f>
        <v>0.50493490501068639</v>
      </c>
      <c r="N6" s="6">
        <f>K6-L6</f>
        <v>839.49617813900022</v>
      </c>
    </row>
    <row r="7" spans="1:14">
      <c r="A7" s="5">
        <f>tbl_price_history!A7</f>
        <v>43251</v>
      </c>
      <c r="B7" s="14">
        <f>_xlfn.XLOOKUP(A7,tbl_tencent_market_data[Date],tbl_tencent_market_data[Market Cap (HKD B)])</f>
        <v>3208.8621600000001</v>
      </c>
      <c r="C7" s="1">
        <f>_xlfn.XLOOKUP(A7,tbl_fx_rates_data[Date],tbl_fx_rates_data[HKD_ZAR])</f>
        <v>1.62</v>
      </c>
      <c r="D7" s="3">
        <f>YEAR(EDATE(A7,9))</f>
        <v>2019</v>
      </c>
      <c r="E7" s="6">
        <f>B7*C7</f>
        <v>5198.3566992000005</v>
      </c>
      <c r="F7" s="14">
        <f>_xlfn.XLOOKUP(D7,tbl_ownership[Fiscal_Year],tbl_ownership[Ownership_%])</f>
        <v>0.31</v>
      </c>
      <c r="G7" s="6">
        <f>E7*F7</f>
        <v>1611.4905767520002</v>
      </c>
      <c r="H7" s="3">
        <f>_xlfn.XLOOKUP(D7,tbl_netdebt[Fiscal_Year],tbl_netdebt[Net_debt_USD_B],0)</f>
        <v>-9.1</v>
      </c>
      <c r="I7" s="3">
        <f>_xlfn.XLOOKUP(A7,tbl_fx_rates_data[Date],tbl_fx_rates_data[USD_ZAR])</f>
        <v>12.7</v>
      </c>
      <c r="J7" s="6">
        <f>H7*I7</f>
        <v>-115.57</v>
      </c>
      <c r="K7" s="6">
        <f>G7-J7</f>
        <v>1727.0605767520001</v>
      </c>
      <c r="L7" s="6">
        <f>_xlfn.XLOOKUP(Table6[[#This Row],[Date]],tbl_naspers_price_data[Date],tbl_naspers_price_data[Market Cap (ZAR B)])</f>
        <v>814.07740000000013</v>
      </c>
      <c r="M7" s="18">
        <f>1-(L7/K7)</f>
        <v>0.52863413654488234</v>
      </c>
      <c r="N7" s="6">
        <f>K7-L7</f>
        <v>912.98317675199996</v>
      </c>
    </row>
    <row r="8" spans="1:14">
      <c r="A8" s="5">
        <f>tbl_price_history!A8</f>
        <v>43281</v>
      </c>
      <c r="B8" s="14">
        <f>_xlfn.XLOOKUP(A8,tbl_tencent_market_data[Date],tbl_tencent_market_data[Market Cap (HKD B)])</f>
        <v>3172.9013999999997</v>
      </c>
      <c r="C8" s="1">
        <f>_xlfn.XLOOKUP(A8,tbl_fx_rates_data[Date],tbl_fx_rates_data[HKD_ZAR])</f>
        <v>1.75</v>
      </c>
      <c r="D8" s="3">
        <f>YEAR(EDATE(A8,9))</f>
        <v>2019</v>
      </c>
      <c r="E8" s="6">
        <f>B8*C8</f>
        <v>5552.5774499999998</v>
      </c>
      <c r="F8" s="14">
        <f>_xlfn.XLOOKUP(D8,tbl_ownership[Fiscal_Year],tbl_ownership[Ownership_%])</f>
        <v>0.31</v>
      </c>
      <c r="G8" s="6">
        <f>E8*F8</f>
        <v>1721.2990095</v>
      </c>
      <c r="H8" s="3">
        <f>_xlfn.XLOOKUP(D8,tbl_netdebt[Fiscal_Year],tbl_netdebt[Net_debt_USD_B],0)</f>
        <v>-9.1</v>
      </c>
      <c r="I8" s="3">
        <f>_xlfn.XLOOKUP(A8,tbl_fx_rates_data[Date],tbl_fx_rates_data[USD_ZAR])</f>
        <v>13.72</v>
      </c>
      <c r="J8" s="6">
        <f>H8*I8</f>
        <v>-124.852</v>
      </c>
      <c r="K8" s="6">
        <f>G8-J8</f>
        <v>1846.1510095000001</v>
      </c>
      <c r="L8" s="6">
        <f>_xlfn.XLOOKUP(Table6[[#This Row],[Date]],tbl_naspers_price_data[Date],tbl_naspers_price_data[Market Cap (ZAR B)])</f>
        <v>937.57680000000005</v>
      </c>
      <c r="M8" s="18">
        <f>1-(L8/K8)</f>
        <v>0.49214511967039609</v>
      </c>
      <c r="N8" s="6">
        <f>K8-L8</f>
        <v>908.57420950000005</v>
      </c>
    </row>
    <row r="9" spans="1:14">
      <c r="A9" s="5">
        <f>tbl_price_history!A9</f>
        <v>43312</v>
      </c>
      <c r="B9" s="14">
        <f>_xlfn.XLOOKUP(A9,tbl_tencent_market_data[Date],tbl_tencent_market_data[Market Cap (HKD B)])</f>
        <v>2861.8771499999998</v>
      </c>
      <c r="C9" s="1">
        <f>_xlfn.XLOOKUP(A9,tbl_fx_rates_data[Date],tbl_fx_rates_data[HKD_ZAR])</f>
        <v>1.69</v>
      </c>
      <c r="D9" s="3">
        <f>YEAR(EDATE(A9,9))</f>
        <v>2019</v>
      </c>
      <c r="E9" s="6">
        <f>B9*C9</f>
        <v>4836.5723834999999</v>
      </c>
      <c r="F9" s="14">
        <f>_xlfn.XLOOKUP(D9,tbl_ownership[Fiscal_Year],tbl_ownership[Ownership_%])</f>
        <v>0.31</v>
      </c>
      <c r="G9" s="6">
        <f>E9*F9</f>
        <v>1499.337438885</v>
      </c>
      <c r="H9" s="3">
        <f>_xlfn.XLOOKUP(D9,tbl_netdebt[Fiscal_Year],tbl_netdebt[Net_debt_USD_B],0)</f>
        <v>-9.1</v>
      </c>
      <c r="I9" s="3">
        <f>_xlfn.XLOOKUP(A9,tbl_fx_rates_data[Date],tbl_fx_rates_data[USD_ZAR])</f>
        <v>13.27</v>
      </c>
      <c r="J9" s="6">
        <f>H9*I9</f>
        <v>-120.75699999999999</v>
      </c>
      <c r="K9" s="6">
        <f>G9-J9</f>
        <v>1620.094438885</v>
      </c>
      <c r="L9" s="6">
        <f>_xlfn.XLOOKUP(Table6[[#This Row],[Date]],tbl_naspers_price_data[Date],tbl_naspers_price_data[Market Cap (ZAR B)])</f>
        <v>872.19979999999998</v>
      </c>
      <c r="M9" s="18">
        <f>1-(L9/K9)</f>
        <v>0.46163644595911624</v>
      </c>
      <c r="N9" s="6">
        <f>K9-L9</f>
        <v>747.89463888500006</v>
      </c>
    </row>
    <row r="10" spans="1:14">
      <c r="A10" s="5">
        <f>tbl_price_history!A10</f>
        <v>43343</v>
      </c>
      <c r="B10" s="14">
        <f>_xlfn.XLOOKUP(A10,tbl_tencent_market_data[Date],tbl_tencent_market_data[Market Cap (HKD B)])</f>
        <v>2739.37446</v>
      </c>
      <c r="C10" s="1">
        <f>_xlfn.XLOOKUP(A10,tbl_fx_rates_data[Date],tbl_fx_rates_data[HKD_ZAR])</f>
        <v>1.87</v>
      </c>
      <c r="D10" s="3">
        <f>YEAR(EDATE(A10,9))</f>
        <v>2019</v>
      </c>
      <c r="E10" s="6">
        <f>B10*C10</f>
        <v>5122.6302402000001</v>
      </c>
      <c r="F10" s="14">
        <f>_xlfn.XLOOKUP(D10,tbl_ownership[Fiscal_Year],tbl_ownership[Ownership_%])</f>
        <v>0.31</v>
      </c>
      <c r="G10" s="6">
        <f>E10*F10</f>
        <v>1588.015374462</v>
      </c>
      <c r="H10" s="3">
        <f>_xlfn.XLOOKUP(D10,tbl_netdebt[Fiscal_Year],tbl_netdebt[Net_debt_USD_B],0)</f>
        <v>-9.1</v>
      </c>
      <c r="I10" s="3">
        <f>_xlfn.XLOOKUP(A10,tbl_fx_rates_data[Date],tbl_fx_rates_data[USD_ZAR])</f>
        <v>14.68</v>
      </c>
      <c r="J10" s="6">
        <f>H10*I10</f>
        <v>-133.58799999999999</v>
      </c>
      <c r="K10" s="6">
        <f>G10-J10</f>
        <v>1721.6033744619999</v>
      </c>
      <c r="L10" s="6">
        <f>_xlfn.XLOOKUP(Table6[[#This Row],[Date]],tbl_naspers_price_data[Date],tbl_naspers_price_data[Market Cap (ZAR B)])</f>
        <v>878.59840000000008</v>
      </c>
      <c r="M10" s="18">
        <f>1-(L10/K10)</f>
        <v>0.48966271033561282</v>
      </c>
      <c r="N10" s="6">
        <f>K10-L10</f>
        <v>843.00497446199984</v>
      </c>
    </row>
    <row r="11" spans="1:14">
      <c r="A11" s="5">
        <f>tbl_price_history!A11</f>
        <v>43373</v>
      </c>
      <c r="B11" s="14">
        <f>_xlfn.XLOOKUP(A11,tbl_tencent_market_data[Date],tbl_tencent_market_data[Market Cap (HKD B)])</f>
        <v>2604.06756</v>
      </c>
      <c r="C11" s="1">
        <f>_xlfn.XLOOKUP(A11,tbl_fx_rates_data[Date],tbl_fx_rates_data[HKD_ZAR])</f>
        <v>1.81</v>
      </c>
      <c r="D11" s="3">
        <f>YEAR(EDATE(A11,9))</f>
        <v>2019</v>
      </c>
      <c r="E11" s="6">
        <f>B11*C11</f>
        <v>4713.3622836000004</v>
      </c>
      <c r="F11" s="14">
        <f>_xlfn.XLOOKUP(D11,tbl_ownership[Fiscal_Year],tbl_ownership[Ownership_%])</f>
        <v>0.31</v>
      </c>
      <c r="G11" s="6">
        <f>E11*F11</f>
        <v>1461.1423079160002</v>
      </c>
      <c r="H11" s="3">
        <f>_xlfn.XLOOKUP(D11,tbl_netdebt[Fiscal_Year],tbl_netdebt[Net_debt_USD_B],0)</f>
        <v>-9.1</v>
      </c>
      <c r="I11" s="3">
        <f>_xlfn.XLOOKUP(A11,tbl_fx_rates_data[Date],tbl_fx_rates_data[USD_ZAR])</f>
        <v>14.14</v>
      </c>
      <c r="J11" s="6">
        <f>H11*I11</f>
        <v>-128.67400000000001</v>
      </c>
      <c r="K11" s="6">
        <f>G11-J11</f>
        <v>1589.8163079160001</v>
      </c>
      <c r="L11" s="6">
        <f>_xlfn.XLOOKUP(Table6[[#This Row],[Date]],tbl_naspers_price_data[Date],tbl_naspers_price_data[Market Cap (ZAR B)])</f>
        <v>820.9896</v>
      </c>
      <c r="M11" s="18">
        <f>1-(L11/K11)</f>
        <v>0.48359467951603252</v>
      </c>
      <c r="N11" s="6">
        <f>K11-L11</f>
        <v>768.82670791600015</v>
      </c>
    </row>
    <row r="12" spans="1:14">
      <c r="A12" s="5">
        <f>tbl_price_history!A12</f>
        <v>43404</v>
      </c>
      <c r="B12" s="14">
        <f>_xlfn.XLOOKUP(A12,tbl_tencent_market_data[Date],tbl_tencent_market_data[Market Cap (HKD B)])</f>
        <v>2151.1980899999999</v>
      </c>
      <c r="C12" s="1">
        <f>_xlfn.XLOOKUP(A12,tbl_fx_rates_data[Date],tbl_fx_rates_data[HKD_ZAR])</f>
        <v>1.89</v>
      </c>
      <c r="D12" s="3">
        <f>YEAR(EDATE(A12,9))</f>
        <v>2019</v>
      </c>
      <c r="E12" s="6">
        <f>B12*C12</f>
        <v>4065.7643900999997</v>
      </c>
      <c r="F12" s="14">
        <f>_xlfn.XLOOKUP(D12,tbl_ownership[Fiscal_Year],tbl_ownership[Ownership_%])</f>
        <v>0.31</v>
      </c>
      <c r="G12" s="6">
        <f>E12*F12</f>
        <v>1260.386960931</v>
      </c>
      <c r="H12" s="3">
        <f>_xlfn.XLOOKUP(D12,tbl_netdebt[Fiscal_Year],tbl_netdebt[Net_debt_USD_B],0)</f>
        <v>-9.1</v>
      </c>
      <c r="I12" s="3">
        <f>_xlfn.XLOOKUP(A12,tbl_fx_rates_data[Date],tbl_fx_rates_data[USD_ZAR])</f>
        <v>14.78</v>
      </c>
      <c r="J12" s="6">
        <f>H12*I12</f>
        <v>-134.49799999999999</v>
      </c>
      <c r="K12" s="6">
        <f>G12-J12</f>
        <v>1394.884960931</v>
      </c>
      <c r="L12" s="6">
        <f>_xlfn.XLOOKUP(Table6[[#This Row],[Date]],tbl_naspers_price_data[Date],tbl_naspers_price_data[Market Cap (ZAR B)])</f>
        <v>697.53300000000002</v>
      </c>
      <c r="M12" s="18">
        <f>1-(L12/K12)</f>
        <v>0.49993510609330849</v>
      </c>
      <c r="N12" s="6">
        <f>K12-L12</f>
        <v>697.35196093100001</v>
      </c>
    </row>
    <row r="13" spans="1:14">
      <c r="A13" s="5">
        <f>tbl_price_history!A13</f>
        <v>43434</v>
      </c>
      <c r="B13" s="14">
        <f>_xlfn.XLOOKUP(A13,tbl_tencent_market_data[Date],tbl_tencent_market_data[Market Cap (HKD B)])</f>
        <v>2513.80242</v>
      </c>
      <c r="C13" s="1">
        <f>_xlfn.XLOOKUP(A13,tbl_fx_rates_data[Date],tbl_fx_rates_data[HKD_ZAR])</f>
        <v>1.77</v>
      </c>
      <c r="D13" s="3">
        <f>YEAR(EDATE(A13,9))</f>
        <v>2019</v>
      </c>
      <c r="E13" s="6">
        <f>B13*C13</f>
        <v>4449.4302834</v>
      </c>
      <c r="F13" s="14">
        <f>_xlfn.XLOOKUP(D13,tbl_ownership[Fiscal_Year],tbl_ownership[Ownership_%])</f>
        <v>0.31</v>
      </c>
      <c r="G13" s="6">
        <f>E13*F13</f>
        <v>1379.323387854</v>
      </c>
      <c r="H13" s="3">
        <f>_xlfn.XLOOKUP(D13,tbl_netdebt[Fiscal_Year],tbl_netdebt[Net_debt_USD_B],0)</f>
        <v>-9.1</v>
      </c>
      <c r="I13" s="3">
        <f>_xlfn.XLOOKUP(A13,tbl_fx_rates_data[Date],tbl_fx_rates_data[USD_ZAR])</f>
        <v>13.86</v>
      </c>
      <c r="J13" s="6">
        <f>H13*I13</f>
        <v>-126.12599999999999</v>
      </c>
      <c r="K13" s="6">
        <f>G13-J13</f>
        <v>1505.449387854</v>
      </c>
      <c r="L13" s="6">
        <f>_xlfn.XLOOKUP(Table6[[#This Row],[Date]],tbl_naspers_price_data[Date],tbl_naspers_price_data[Market Cap (ZAR B)])</f>
        <v>743.35040000000004</v>
      </c>
      <c r="M13" s="18">
        <f>1-(L13/K13)</f>
        <v>0.50622690739564669</v>
      </c>
      <c r="N13" s="6">
        <f>K13-L13</f>
        <v>762.09898785399992</v>
      </c>
    </row>
    <row r="14" spans="1:14">
      <c r="A14" s="5">
        <f>tbl_price_history!A14</f>
        <v>43465</v>
      </c>
      <c r="B14" s="14">
        <f>_xlfn.XLOOKUP(A14,tbl_tencent_market_data[Date],tbl_tencent_market_data[Market Cap (HKD B)])</f>
        <v>2529.8757899999996</v>
      </c>
      <c r="C14" s="1">
        <f>_xlfn.XLOOKUP(A14,tbl_fx_rates_data[Date],tbl_fx_rates_data[HKD_ZAR])</f>
        <v>1.83</v>
      </c>
      <c r="D14" s="3">
        <f>YEAR(EDATE(A14,9))</f>
        <v>2019</v>
      </c>
      <c r="E14" s="6">
        <f>B14*C14</f>
        <v>4629.6726956999992</v>
      </c>
      <c r="F14" s="14">
        <f>_xlfn.XLOOKUP(D14,tbl_ownership[Fiscal_Year],tbl_ownership[Ownership_%])</f>
        <v>0.31</v>
      </c>
      <c r="G14" s="6">
        <f>E14*F14</f>
        <v>1435.1985356669998</v>
      </c>
      <c r="H14" s="3">
        <f>_xlfn.XLOOKUP(D14,tbl_netdebt[Fiscal_Year],tbl_netdebt[Net_debt_USD_B],0)</f>
        <v>-9.1</v>
      </c>
      <c r="I14" s="3">
        <f>_xlfn.XLOOKUP(A14,tbl_fx_rates_data[Date],tbl_fx_rates_data[USD_ZAR])</f>
        <v>14.35</v>
      </c>
      <c r="J14" s="6">
        <f>H14*I14</f>
        <v>-130.58499999999998</v>
      </c>
      <c r="K14" s="6">
        <f>G14-J14</f>
        <v>1565.7835356669998</v>
      </c>
      <c r="L14" s="6">
        <f>_xlfn.XLOOKUP(Table6[[#This Row],[Date]],tbl_naspers_price_data[Date],tbl_naspers_price_data[Market Cap (ZAR B)])</f>
        <v>778.12540000000013</v>
      </c>
      <c r="M14" s="18">
        <f>1-(L14/K14)</f>
        <v>0.50304407839584886</v>
      </c>
      <c r="N14" s="6">
        <f>K14-L14</f>
        <v>787.65813566699967</v>
      </c>
    </row>
    <row r="15" spans="1:14">
      <c r="A15" s="5">
        <f>tbl_price_history!A15</f>
        <v>43496</v>
      </c>
      <c r="B15" s="14">
        <f>_xlfn.XLOOKUP(A15,tbl_tencent_market_data[Date],tbl_tencent_market_data[Market Cap (HKD B)])</f>
        <v>2787.77619</v>
      </c>
      <c r="C15" s="1">
        <f>_xlfn.XLOOKUP(A15,tbl_fx_rates_data[Date],tbl_fx_rates_data[HKD_ZAR])</f>
        <v>1.69</v>
      </c>
      <c r="D15" s="3">
        <f>YEAR(EDATE(A15,9))</f>
        <v>2019</v>
      </c>
      <c r="E15" s="6">
        <f>B15*C15</f>
        <v>4711.3417610999995</v>
      </c>
      <c r="F15" s="14">
        <f>_xlfn.XLOOKUP(D15,tbl_ownership[Fiscal_Year],tbl_ownership[Ownership_%])</f>
        <v>0.31</v>
      </c>
      <c r="G15" s="6">
        <f>E15*F15</f>
        <v>1460.5159459409999</v>
      </c>
      <c r="H15" s="3">
        <f>_xlfn.XLOOKUP(D15,tbl_netdebt[Fiscal_Year],tbl_netdebt[Net_debt_USD_B],0)</f>
        <v>-9.1</v>
      </c>
      <c r="I15" s="3">
        <f>_xlfn.XLOOKUP(A15,tbl_fx_rates_data[Date],tbl_fx_rates_data[USD_ZAR])</f>
        <v>13.25</v>
      </c>
      <c r="J15" s="6">
        <f>H15*I15</f>
        <v>-120.57499999999999</v>
      </c>
      <c r="K15" s="6">
        <f>G15-J15</f>
        <v>1581.090945941</v>
      </c>
      <c r="L15" s="6">
        <f>_xlfn.XLOOKUP(Table6[[#This Row],[Date]],tbl_naspers_price_data[Date],tbl_naspers_price_data[Market Cap (ZAR B)])</f>
        <v>817.88660000000004</v>
      </c>
      <c r="M15" s="18">
        <f>1-(L15/K15)</f>
        <v>0.48270742925972054</v>
      </c>
      <c r="N15" s="6">
        <f>K15-L15</f>
        <v>763.20434594099993</v>
      </c>
    </row>
    <row r="16" spans="1:14">
      <c r="A16" s="5">
        <f>tbl_price_history!A16</f>
        <v>43524</v>
      </c>
      <c r="B16" s="14">
        <f>_xlfn.XLOOKUP(A16,tbl_tencent_market_data[Date],tbl_tencent_market_data[Market Cap (HKD B)])</f>
        <v>2705.5931399999999</v>
      </c>
      <c r="C16" s="1">
        <f>_xlfn.XLOOKUP(A16,tbl_fx_rates_data[Date],tbl_fx_rates_data[HKD_ZAR])</f>
        <v>1.79</v>
      </c>
      <c r="D16" s="3">
        <f>YEAR(EDATE(A16,9))</f>
        <v>2019</v>
      </c>
      <c r="E16" s="6">
        <f>B16*C16</f>
        <v>4843.0117206000004</v>
      </c>
      <c r="F16" s="14">
        <f>_xlfn.XLOOKUP(D16,tbl_ownership[Fiscal_Year],tbl_ownership[Ownership_%])</f>
        <v>0.31</v>
      </c>
      <c r="G16" s="6">
        <f>E16*F16</f>
        <v>1501.3336333860002</v>
      </c>
      <c r="H16" s="3">
        <f>_xlfn.XLOOKUP(D16,tbl_netdebt[Fiscal_Year],tbl_netdebt[Net_debt_USD_B],0)</f>
        <v>-9.1</v>
      </c>
      <c r="I16" s="3">
        <f>_xlfn.XLOOKUP(A16,tbl_fx_rates_data[Date],tbl_fx_rates_data[USD_ZAR])</f>
        <v>14.08</v>
      </c>
      <c r="J16" s="6">
        <f>H16*I16</f>
        <v>-128.12799999999999</v>
      </c>
      <c r="K16" s="6">
        <f>G16-J16</f>
        <v>1629.4616333860001</v>
      </c>
      <c r="L16" s="6">
        <f>_xlfn.XLOOKUP(Table6[[#This Row],[Date]],tbl_naspers_price_data[Date],tbl_naspers_price_data[Market Cap (ZAR B)])</f>
        <v>845.0218000000001</v>
      </c>
      <c r="M16" s="18">
        <f>1-(L16/K16)</f>
        <v>0.48141043478019441</v>
      </c>
      <c r="N16" s="6">
        <f>K16-L16</f>
        <v>784.43983338600003</v>
      </c>
    </row>
    <row r="17" spans="1:14">
      <c r="A17" s="5">
        <f>tbl_price_history!A17</f>
        <v>43555</v>
      </c>
      <c r="B17" s="14">
        <f>_xlfn.XLOOKUP(A17,tbl_tencent_market_data[Date],tbl_tencent_market_data[Market Cap (HKD B)])</f>
        <v>2908.5534900000002</v>
      </c>
      <c r="C17" s="1">
        <f>_xlfn.XLOOKUP(A17,tbl_fx_rates_data[Date],tbl_fx_rates_data[HKD_ZAR])</f>
        <v>1.84</v>
      </c>
      <c r="D17" s="3">
        <f>YEAR(EDATE(A17,9))</f>
        <v>2019</v>
      </c>
      <c r="E17" s="6">
        <f>B17*C17</f>
        <v>5351.7384216000009</v>
      </c>
      <c r="F17" s="14">
        <f>_xlfn.XLOOKUP(D17,tbl_ownership[Fiscal_Year],tbl_ownership[Ownership_%])</f>
        <v>0.31</v>
      </c>
      <c r="G17" s="6">
        <f>E17*F17</f>
        <v>1659.0389106960004</v>
      </c>
      <c r="H17" s="3">
        <f>_xlfn.XLOOKUP(D17,tbl_netdebt[Fiscal_Year],tbl_netdebt[Net_debt_USD_B],0)</f>
        <v>-9.1</v>
      </c>
      <c r="I17" s="3">
        <f>_xlfn.XLOOKUP(A17,tbl_fx_rates_data[Date],tbl_fx_rates_data[USD_ZAR])</f>
        <v>14.48</v>
      </c>
      <c r="J17" s="6">
        <f>H17*I17</f>
        <v>-131.768</v>
      </c>
      <c r="K17" s="6">
        <f>G17-J17</f>
        <v>1790.8069106960004</v>
      </c>
      <c r="L17" s="6">
        <f>_xlfn.XLOOKUP(Table6[[#This Row],[Date]],tbl_naspers_price_data[Date],tbl_naspers_price_data[Market Cap (ZAR B)])</f>
        <v>924.5870000000001</v>
      </c>
      <c r="M17" s="18">
        <f>1-(L17/K17)</f>
        <v>0.4837036899524485</v>
      </c>
      <c r="N17" s="6">
        <f>K17-L17</f>
        <v>866.21991069600028</v>
      </c>
    </row>
    <row r="18" spans="1:14">
      <c r="A18" s="5">
        <f>tbl_price_history!A18</f>
        <v>43585</v>
      </c>
      <c r="B18" s="14">
        <f>_xlfn.XLOOKUP(A18,tbl_tencent_market_data[Date],tbl_tencent_market_data[Market Cap (HKD B)])</f>
        <v>3126.0434399999999</v>
      </c>
      <c r="C18" s="1">
        <f>_xlfn.XLOOKUP(A18,tbl_fx_rates_data[Date],tbl_fx_rates_data[HKD_ZAR])</f>
        <v>1.82</v>
      </c>
      <c r="D18" s="3">
        <f>YEAR(EDATE(A18,9))</f>
        <v>2020</v>
      </c>
      <c r="E18" s="6">
        <f>B18*C18</f>
        <v>5689.3990608000004</v>
      </c>
      <c r="F18" s="14">
        <f>_xlfn.XLOOKUP(D18,tbl_ownership[Fiscal_Year],tbl_ownership[Ownership_%])</f>
        <v>0.31</v>
      </c>
      <c r="G18" s="6">
        <f>E18*F18</f>
        <v>1763.7137088480001</v>
      </c>
      <c r="H18" s="3">
        <f>_xlfn.XLOOKUP(D18,tbl_netdebt[Fiscal_Year],tbl_netdebt[Net_debt_USD_B],0)</f>
        <v>-4.4000000000000004</v>
      </c>
      <c r="I18" s="3">
        <f>_xlfn.XLOOKUP(A18,tbl_fx_rates_data[Date],tbl_fx_rates_data[USD_ZAR])</f>
        <v>14.29</v>
      </c>
      <c r="J18" s="6">
        <f>H18*I18</f>
        <v>-62.876000000000005</v>
      </c>
      <c r="K18" s="6">
        <f>G18-J18</f>
        <v>1826.5897088480001</v>
      </c>
      <c r="L18" s="6">
        <f>_xlfn.XLOOKUP(Table6[[#This Row],[Date]],tbl_naspers_price_data[Date],tbl_naspers_price_data[Market Cap (ZAR B)])</f>
        <v>1014.1888000000001</v>
      </c>
      <c r="M18" s="18">
        <f>1-(L18/K18)</f>
        <v>0.4447637610749311</v>
      </c>
      <c r="N18" s="6">
        <f>K18-L18</f>
        <v>812.40090884799997</v>
      </c>
    </row>
    <row r="19" spans="1:14">
      <c r="A19" s="5">
        <f>tbl_price_history!A19</f>
        <v>43616</v>
      </c>
      <c r="B19" s="14">
        <f>_xlfn.XLOOKUP(A19,tbl_tencent_market_data[Date],tbl_tencent_market_data[Market Cap (HKD B)])</f>
        <v>2626.58844</v>
      </c>
      <c r="C19" s="1">
        <f>_xlfn.XLOOKUP(A19,tbl_fx_rates_data[Date],tbl_fx_rates_data[HKD_ZAR])</f>
        <v>1.86</v>
      </c>
      <c r="D19" s="3">
        <f>YEAR(EDATE(A19,9))</f>
        <v>2020</v>
      </c>
      <c r="E19" s="6">
        <f>B19*C19</f>
        <v>4885.4544984000004</v>
      </c>
      <c r="F19" s="14">
        <f>_xlfn.XLOOKUP(D19,tbl_ownership[Fiscal_Year],tbl_ownership[Ownership_%])</f>
        <v>0.31</v>
      </c>
      <c r="G19" s="6">
        <f>E19*F19</f>
        <v>1514.4908945040002</v>
      </c>
      <c r="H19" s="3">
        <f>_xlfn.XLOOKUP(D19,tbl_netdebt[Fiscal_Year],tbl_netdebt[Net_debt_USD_B],0)</f>
        <v>-4.4000000000000004</v>
      </c>
      <c r="I19" s="3">
        <f>_xlfn.XLOOKUP(A19,tbl_fx_rates_data[Date],tbl_fx_rates_data[USD_ZAR])</f>
        <v>14.58</v>
      </c>
      <c r="J19" s="6">
        <f>H19*I19</f>
        <v>-64.152000000000001</v>
      </c>
      <c r="K19" s="6">
        <f>G19-J19</f>
        <v>1578.6428945040002</v>
      </c>
      <c r="L19" s="6">
        <f>_xlfn.XLOOKUP(Table6[[#This Row],[Date]],tbl_naspers_price_data[Date],tbl_naspers_price_data[Market Cap (ZAR B)])</f>
        <v>908.90080000000012</v>
      </c>
      <c r="M19" s="18">
        <f>1-(L19/K19)</f>
        <v>0.42425180313780142</v>
      </c>
      <c r="N19" s="6">
        <f>K19-L19</f>
        <v>669.74209450400008</v>
      </c>
    </row>
    <row r="20" spans="1:14">
      <c r="A20" s="5">
        <f>tbl_price_history!A20</f>
        <v>43646</v>
      </c>
      <c r="B20" s="14">
        <f>_xlfn.XLOOKUP(A20,tbl_tencent_market_data[Date],tbl_tencent_market_data[Market Cap (HKD B)])</f>
        <v>2849.3453699999995</v>
      </c>
      <c r="C20" s="1">
        <f>_xlfn.XLOOKUP(A20,tbl_fx_rates_data[Date],tbl_fx_rates_data[HKD_ZAR])</f>
        <v>1.8</v>
      </c>
      <c r="D20" s="3">
        <f>YEAR(EDATE(A20,9))</f>
        <v>2020</v>
      </c>
      <c r="E20" s="6">
        <f>B20*C20</f>
        <v>5128.8216659999989</v>
      </c>
      <c r="F20" s="14">
        <f>_xlfn.XLOOKUP(D20,tbl_ownership[Fiscal_Year],tbl_ownership[Ownership_%])</f>
        <v>0.31</v>
      </c>
      <c r="G20" s="6">
        <f>E20*F20</f>
        <v>1589.9347164599997</v>
      </c>
      <c r="H20" s="3">
        <f>_xlfn.XLOOKUP(D20,tbl_netdebt[Fiscal_Year],tbl_netdebt[Net_debt_USD_B],0)</f>
        <v>-4.4000000000000004</v>
      </c>
      <c r="I20" s="3">
        <f>_xlfn.XLOOKUP(A20,tbl_fx_rates_data[Date],tbl_fx_rates_data[USD_ZAR])</f>
        <v>14.07</v>
      </c>
      <c r="J20" s="6">
        <f>H20*I20</f>
        <v>-61.908000000000008</v>
      </c>
      <c r="K20" s="6">
        <f>G20-J20</f>
        <v>1651.8427164599996</v>
      </c>
      <c r="L20" s="6">
        <f>_xlfn.XLOOKUP(Table6[[#This Row],[Date]],tbl_naspers_price_data[Date],tbl_naspers_price_data[Market Cap (ZAR B)])</f>
        <v>948.83320000000003</v>
      </c>
      <c r="M20" s="18">
        <f>1-(L20/K20)</f>
        <v>0.42559107441330257</v>
      </c>
      <c r="N20" s="6">
        <f>K20-L20</f>
        <v>703.00951645999953</v>
      </c>
    </row>
    <row r="21" spans="1:14">
      <c r="A21" s="5">
        <f>tbl_price_history!A21</f>
        <v>43677</v>
      </c>
      <c r="B21" s="14">
        <f>_xlfn.XLOOKUP(A21,tbl_tencent_market_data[Date],tbl_tencent_market_data[Market Cap (HKD B)])</f>
        <v>2975.3896499999996</v>
      </c>
      <c r="C21" s="1">
        <f>_xlfn.XLOOKUP(A21,tbl_fx_rates_data[Date],tbl_fx_rates_data[HKD_ZAR])</f>
        <v>1.83</v>
      </c>
      <c r="D21" s="3">
        <f>YEAR(EDATE(A21,9))</f>
        <v>2020</v>
      </c>
      <c r="E21" s="6">
        <f>B21*C21</f>
        <v>5444.9630594999999</v>
      </c>
      <c r="F21" s="14">
        <f>_xlfn.XLOOKUP(D21,tbl_ownership[Fiscal_Year],tbl_ownership[Ownership_%])</f>
        <v>0.31</v>
      </c>
      <c r="G21" s="6">
        <f>E21*F21</f>
        <v>1687.9385484449999</v>
      </c>
      <c r="H21" s="3">
        <f>_xlfn.XLOOKUP(D21,tbl_netdebt[Fiscal_Year],tbl_netdebt[Net_debt_USD_B],0)</f>
        <v>-4.4000000000000004</v>
      </c>
      <c r="I21" s="3">
        <f>_xlfn.XLOOKUP(A21,tbl_fx_rates_data[Date],tbl_fx_rates_data[USD_ZAR])</f>
        <v>14.34</v>
      </c>
      <c r="J21" s="6">
        <f>H21*I21</f>
        <v>-63.096000000000004</v>
      </c>
      <c r="K21" s="6">
        <f>G21-J21</f>
        <v>1751.0345484449999</v>
      </c>
      <c r="L21" s="6">
        <f>_xlfn.XLOOKUP(Table6[[#This Row],[Date]],tbl_naspers_price_data[Date],tbl_naspers_price_data[Market Cap (ZAR B)])</f>
        <v>973.20780000000002</v>
      </c>
      <c r="M21" s="18">
        <f>1-(L21/K21)</f>
        <v>0.4442098239213762</v>
      </c>
      <c r="N21" s="6">
        <f>K21-L21</f>
        <v>777.82674844499991</v>
      </c>
    </row>
    <row r="22" spans="1:14">
      <c r="A22" s="5">
        <f>tbl_price_history!A22</f>
        <v>43708</v>
      </c>
      <c r="B22" s="14">
        <f>_xlfn.XLOOKUP(A22,tbl_tencent_market_data[Date],tbl_tencent_market_data[Market Cap (HKD B)])</f>
        <v>2624.6814299999996</v>
      </c>
      <c r="C22" s="1">
        <f>_xlfn.XLOOKUP(A22,tbl_fx_rates_data[Date],tbl_fx_rates_data[HKD_ZAR])</f>
        <v>1.94</v>
      </c>
      <c r="D22" s="3">
        <f>YEAR(EDATE(A22,9))</f>
        <v>2020</v>
      </c>
      <c r="E22" s="6">
        <f>B22*C22</f>
        <v>5091.8819741999996</v>
      </c>
      <c r="F22" s="14">
        <f>_xlfn.XLOOKUP(D22,tbl_ownership[Fiscal_Year],tbl_ownership[Ownership_%])</f>
        <v>0.31</v>
      </c>
      <c r="G22" s="6">
        <f>E22*F22</f>
        <v>1578.4834120019998</v>
      </c>
      <c r="H22" s="3">
        <f>_xlfn.XLOOKUP(D22,tbl_netdebt[Fiscal_Year],tbl_netdebt[Net_debt_USD_B],0)</f>
        <v>-4.4000000000000004</v>
      </c>
      <c r="I22" s="3">
        <f>_xlfn.XLOOKUP(A22,tbl_fx_rates_data[Date],tbl_fx_rates_data[USD_ZAR])</f>
        <v>15.18</v>
      </c>
      <c r="J22" s="6">
        <f>H22*I22</f>
        <v>-66.792000000000002</v>
      </c>
      <c r="K22" s="6">
        <f>G22-J22</f>
        <v>1645.2754120019997</v>
      </c>
      <c r="L22" s="6">
        <f>_xlfn.XLOOKUP(Table6[[#This Row],[Date]],tbl_naspers_price_data[Date],tbl_naspers_price_data[Market Cap (ZAR B)])</f>
        <v>958.33480000000009</v>
      </c>
      <c r="M22" s="18">
        <f>1-(L22/K22)</f>
        <v>0.41752317392631444</v>
      </c>
      <c r="N22" s="6">
        <f>K22-L22</f>
        <v>686.94061200199963</v>
      </c>
    </row>
    <row r="23" spans="1:14">
      <c r="A23" s="5">
        <f>tbl_price_history!A23</f>
        <v>43738</v>
      </c>
      <c r="B23" s="14">
        <f>_xlfn.XLOOKUP(A23,tbl_tencent_market_data[Date],tbl_tencent_market_data[Market Cap (HKD B)])</f>
        <v>2668.3610399999998</v>
      </c>
      <c r="C23" s="1">
        <f>_xlfn.XLOOKUP(A23,tbl_fx_rates_data[Date],tbl_fx_rates_data[HKD_ZAR])</f>
        <v>1.93</v>
      </c>
      <c r="D23" s="3">
        <f>YEAR(EDATE(A23,9))</f>
        <v>2020</v>
      </c>
      <c r="E23" s="6">
        <f>B23*C23</f>
        <v>5149.9368071999997</v>
      </c>
      <c r="F23" s="14">
        <f>_xlfn.XLOOKUP(D23,tbl_ownership[Fiscal_Year],tbl_ownership[Ownership_%])</f>
        <v>0.31</v>
      </c>
      <c r="G23" s="6">
        <f>E23*F23</f>
        <v>1596.4804102319999</v>
      </c>
      <c r="H23" s="3">
        <f>_xlfn.XLOOKUP(D23,tbl_netdebt[Fiscal_Year],tbl_netdebt[Net_debt_USD_B],0)</f>
        <v>-4.4000000000000004</v>
      </c>
      <c r="I23" s="3">
        <f>_xlfn.XLOOKUP(A23,tbl_fx_rates_data[Date],tbl_fx_rates_data[USD_ZAR])</f>
        <v>15.13</v>
      </c>
      <c r="J23" s="6">
        <f>H23*I23</f>
        <v>-66.572000000000003</v>
      </c>
      <c r="K23" s="6">
        <f>G23-J23</f>
        <v>1663.0524102320001</v>
      </c>
      <c r="L23" s="6">
        <f>_xlfn.XLOOKUP(Table6[[#This Row],[Date]],tbl_naspers_price_data[Date],tbl_naspers_price_data[Market Cap (ZAR B)])</f>
        <v>982.08880000000011</v>
      </c>
      <c r="M23" s="18">
        <f>1-(L23/K23)</f>
        <v>0.40946611546475786</v>
      </c>
      <c r="N23" s="6">
        <f>K23-L23</f>
        <v>680.96361023199995</v>
      </c>
    </row>
    <row r="24" spans="1:14">
      <c r="A24" s="5">
        <f>tbl_price_history!A24</f>
        <v>43769</v>
      </c>
      <c r="B24" s="14">
        <f>_xlfn.XLOOKUP(A24,tbl_tencent_market_data[Date],tbl_tencent_market_data[Market Cap (HKD B)])</f>
        <v>2592.3530700000001</v>
      </c>
      <c r="C24" s="1">
        <f>_xlfn.XLOOKUP(A24,tbl_fx_rates_data[Date],tbl_fx_rates_data[HKD_ZAR])</f>
        <v>1.93</v>
      </c>
      <c r="D24" s="3">
        <f>YEAR(EDATE(A24,9))</f>
        <v>2020</v>
      </c>
      <c r="E24" s="6">
        <f>B24*C24</f>
        <v>5003.2414251</v>
      </c>
      <c r="F24" s="14">
        <f>_xlfn.XLOOKUP(D24,tbl_ownership[Fiscal_Year],tbl_ownership[Ownership_%])</f>
        <v>0.31</v>
      </c>
      <c r="G24" s="6">
        <f>E24*F24</f>
        <v>1551.0048417810001</v>
      </c>
      <c r="H24" s="3">
        <f>_xlfn.XLOOKUP(D24,tbl_netdebt[Fiscal_Year],tbl_netdebt[Net_debt_USD_B],0)</f>
        <v>-4.4000000000000004</v>
      </c>
      <c r="I24" s="3">
        <f>_xlfn.XLOOKUP(A24,tbl_fx_rates_data[Date],tbl_fx_rates_data[USD_ZAR])</f>
        <v>15.09</v>
      </c>
      <c r="J24" s="6">
        <f>H24*I24</f>
        <v>-66.396000000000001</v>
      </c>
      <c r="K24" s="6">
        <f>G24-J24</f>
        <v>1617.4008417810001</v>
      </c>
      <c r="L24" s="6">
        <f>_xlfn.XLOOKUP(Table6[[#This Row],[Date]],tbl_naspers_price_data[Date],tbl_naspers_price_data[Market Cap (ZAR B)])</f>
        <v>918.16700000000003</v>
      </c>
      <c r="M24" s="18">
        <f>1-(L24/K24)</f>
        <v>0.43231944964925273</v>
      </c>
      <c r="N24" s="6">
        <f>K24-L24</f>
        <v>699.23384178100002</v>
      </c>
    </row>
    <row r="25" spans="1:14">
      <c r="A25" s="5">
        <f>tbl_price_history!A25</f>
        <v>43799</v>
      </c>
      <c r="B25" s="14">
        <f>_xlfn.XLOOKUP(A25,tbl_tencent_market_data[Date],tbl_tencent_market_data[Market Cap (HKD B)])</f>
        <v>2681.2560599999997</v>
      </c>
      <c r="C25" s="1">
        <f>_xlfn.XLOOKUP(A25,tbl_fx_rates_data[Date],tbl_fx_rates_data[HKD_ZAR])</f>
        <v>1.87</v>
      </c>
      <c r="D25" s="3">
        <f>YEAR(EDATE(A25,9))</f>
        <v>2020</v>
      </c>
      <c r="E25" s="6">
        <f>B25*C25</f>
        <v>5013.9488321999997</v>
      </c>
      <c r="F25" s="14">
        <f>_xlfn.XLOOKUP(D25,tbl_ownership[Fiscal_Year],tbl_ownership[Ownership_%])</f>
        <v>0.31</v>
      </c>
      <c r="G25" s="6">
        <f>E25*F25</f>
        <v>1554.3241379819999</v>
      </c>
      <c r="H25" s="3">
        <f>_xlfn.XLOOKUP(D25,tbl_netdebt[Fiscal_Year],tbl_netdebt[Net_debt_USD_B],0)</f>
        <v>-4.4000000000000004</v>
      </c>
      <c r="I25" s="3">
        <f>_xlfn.XLOOKUP(A25,tbl_fx_rates_data[Date],tbl_fx_rates_data[USD_ZAR])</f>
        <v>14.64</v>
      </c>
      <c r="J25" s="6">
        <f>H25*I25</f>
        <v>-64.416000000000011</v>
      </c>
      <c r="K25" s="6">
        <f>G25-J25</f>
        <v>1618.7401379819999</v>
      </c>
      <c r="L25" s="6">
        <f>_xlfn.XLOOKUP(Table6[[#This Row],[Date]],tbl_naspers_price_data[Date],tbl_naspers_price_data[Market Cap (ZAR B)])</f>
        <v>896.44600000000003</v>
      </c>
      <c r="M25" s="18">
        <f>1-(L25/K25)</f>
        <v>0.44620759134473975</v>
      </c>
      <c r="N25" s="6">
        <f>K25-L25</f>
        <v>722.29413798199982</v>
      </c>
    </row>
    <row r="26" spans="1:14">
      <c r="A26" s="5">
        <f>tbl_price_history!A26</f>
        <v>43830</v>
      </c>
      <c r="B26" s="14">
        <f>_xlfn.XLOOKUP(A26,tbl_tencent_market_data[Date],tbl_tencent_market_data[Market Cap (HKD B)])</f>
        <v>3035.23344</v>
      </c>
      <c r="C26" s="1">
        <f>_xlfn.XLOOKUP(A26,tbl_fx_rates_data[Date],tbl_fx_rates_data[HKD_ZAR])</f>
        <v>1.8</v>
      </c>
      <c r="D26" s="3">
        <f>YEAR(EDATE(A26,9))</f>
        <v>2020</v>
      </c>
      <c r="E26" s="6">
        <f>B26*C26</f>
        <v>5463.4201920000005</v>
      </c>
      <c r="F26" s="14">
        <f>_xlfn.XLOOKUP(D26,tbl_ownership[Fiscal_Year],tbl_ownership[Ownership_%])</f>
        <v>0.31</v>
      </c>
      <c r="G26" s="6">
        <f>E26*F26</f>
        <v>1693.6602595200002</v>
      </c>
      <c r="H26" s="3">
        <f>_xlfn.XLOOKUP(D26,tbl_netdebt[Fiscal_Year],tbl_netdebt[Net_debt_USD_B],0)</f>
        <v>-4.4000000000000004</v>
      </c>
      <c r="I26" s="3">
        <f>_xlfn.XLOOKUP(A26,tbl_fx_rates_data[Date],tbl_fx_rates_data[USD_ZAR])</f>
        <v>14</v>
      </c>
      <c r="J26" s="6">
        <f>H26*I26</f>
        <v>-61.600000000000009</v>
      </c>
      <c r="K26" s="6">
        <f>G26-J26</f>
        <v>1755.2602595200001</v>
      </c>
      <c r="L26" s="6">
        <f>_xlfn.XLOOKUP(Table6[[#This Row],[Date]],tbl_naspers_price_data[Date],tbl_naspers_price_data[Market Cap (ZAR B)])</f>
        <v>980.2912</v>
      </c>
      <c r="M26" s="18">
        <f>1-(L26/K26)</f>
        <v>0.44151233716869198</v>
      </c>
      <c r="N26" s="6">
        <f>K26-L26</f>
        <v>774.96905952000009</v>
      </c>
    </row>
    <row r="27" spans="1:14">
      <c r="A27" s="5">
        <f>tbl_price_history!A27</f>
        <v>43861</v>
      </c>
      <c r="B27" s="14">
        <f>_xlfn.XLOOKUP(A27,tbl_tencent_market_data[Date],tbl_tencent_market_data[Market Cap (HKD B)])</f>
        <v>3014.2563299999997</v>
      </c>
      <c r="C27" s="1">
        <f>_xlfn.XLOOKUP(A27,tbl_fx_rates_data[Date],tbl_fx_rates_data[HKD_ZAR])</f>
        <v>1.93</v>
      </c>
      <c r="D27" s="3">
        <f>YEAR(EDATE(A27,9))</f>
        <v>2020</v>
      </c>
      <c r="E27" s="6">
        <f>B27*C27</f>
        <v>5817.5147168999993</v>
      </c>
      <c r="F27" s="14">
        <f>_xlfn.XLOOKUP(D27,tbl_ownership[Fiscal_Year],tbl_ownership[Ownership_%])</f>
        <v>0.31</v>
      </c>
      <c r="G27" s="6">
        <f>E27*F27</f>
        <v>1803.4295622389998</v>
      </c>
      <c r="H27" s="3">
        <f>_xlfn.XLOOKUP(D27,tbl_netdebt[Fiscal_Year],tbl_netdebt[Net_debt_USD_B],0)</f>
        <v>-4.4000000000000004</v>
      </c>
      <c r="I27" s="3">
        <f>_xlfn.XLOOKUP(A27,tbl_fx_rates_data[Date],tbl_fx_rates_data[USD_ZAR])</f>
        <v>15</v>
      </c>
      <c r="J27" s="6">
        <f>H27*I27</f>
        <v>-66</v>
      </c>
      <c r="K27" s="6">
        <f>G27-J27</f>
        <v>1869.4295622389998</v>
      </c>
      <c r="L27" s="6">
        <f>_xlfn.XLOOKUP(Table6[[#This Row],[Date]],tbl_naspers_price_data[Date],tbl_naspers_price_data[Market Cap (ZAR B)])</f>
        <v>1053.0084000000002</v>
      </c>
      <c r="M27" s="18">
        <f>1-(L27/K27)</f>
        <v>0.4367220775417604</v>
      </c>
      <c r="N27" s="6">
        <f>K27-L27</f>
        <v>816.42116223899961</v>
      </c>
    </row>
    <row r="28" spans="1:14">
      <c r="A28" s="5">
        <f>tbl_price_history!A28</f>
        <v>43890</v>
      </c>
      <c r="B28" s="14">
        <f>_xlfn.XLOOKUP(A28,tbl_tencent_market_data[Date],tbl_tencent_market_data[Market Cap (HKD B)])</f>
        <v>3119.2326899999998</v>
      </c>
      <c r="C28" s="1">
        <f>_xlfn.XLOOKUP(A28,tbl_fx_rates_data[Date],tbl_fx_rates_data[HKD_ZAR])</f>
        <v>2.0099999999999998</v>
      </c>
      <c r="D28" s="3">
        <f>YEAR(EDATE(A28,9))</f>
        <v>2020</v>
      </c>
      <c r="E28" s="6">
        <f>B28*C28</f>
        <v>6269.6577068999986</v>
      </c>
      <c r="F28" s="14">
        <f>_xlfn.XLOOKUP(D28,tbl_ownership[Fiscal_Year],tbl_ownership[Ownership_%])</f>
        <v>0.31</v>
      </c>
      <c r="G28" s="6">
        <f>E28*F28</f>
        <v>1943.5938891389997</v>
      </c>
      <c r="H28" s="3">
        <f>_xlfn.XLOOKUP(D28,tbl_netdebt[Fiscal_Year],tbl_netdebt[Net_debt_USD_B],0)</f>
        <v>-4.4000000000000004</v>
      </c>
      <c r="I28" s="3">
        <f>_xlfn.XLOOKUP(A28,tbl_fx_rates_data[Date],tbl_fx_rates_data[USD_ZAR])</f>
        <v>15.66</v>
      </c>
      <c r="J28" s="6">
        <f>H28*I28</f>
        <v>-68.904000000000011</v>
      </c>
      <c r="K28" s="6">
        <f>G28-J28</f>
        <v>2012.4978891389997</v>
      </c>
      <c r="L28" s="6">
        <f>_xlfn.XLOOKUP(Table6[[#This Row],[Date]],tbl_naspers_price_data[Date],tbl_naspers_price_data[Market Cap (ZAR B)])</f>
        <v>1018.8540000000002</v>
      </c>
      <c r="M28" s="18">
        <f>1-(L28/K28)</f>
        <v>0.49373661185011575</v>
      </c>
      <c r="N28" s="6">
        <f>K28-L28</f>
        <v>993.6438891389995</v>
      </c>
    </row>
    <row r="29" spans="1:14">
      <c r="A29" s="5">
        <f>tbl_price_history!A29</f>
        <v>43921</v>
      </c>
      <c r="B29" s="14">
        <f>_xlfn.XLOOKUP(A29,tbl_tencent_market_data[Date],tbl_tencent_market_data[Market Cap (HKD B)])</f>
        <v>3072.3747299999995</v>
      </c>
      <c r="C29" s="1">
        <f>_xlfn.XLOOKUP(A29,tbl_fx_rates_data[Date],tbl_fx_rates_data[HKD_ZAR])</f>
        <v>2.2999999999999998</v>
      </c>
      <c r="D29" s="3">
        <f>YEAR(EDATE(A29,9))</f>
        <v>2020</v>
      </c>
      <c r="E29" s="6">
        <f>B29*C29</f>
        <v>7066.4618789999986</v>
      </c>
      <c r="F29" s="14">
        <f>_xlfn.XLOOKUP(D29,tbl_ownership[Fiscal_Year],tbl_ownership[Ownership_%])</f>
        <v>0.31</v>
      </c>
      <c r="G29" s="6">
        <f>E29*F29</f>
        <v>2190.6031824899997</v>
      </c>
      <c r="H29" s="3">
        <f>_xlfn.XLOOKUP(D29,tbl_netdebt[Fiscal_Year],tbl_netdebt[Net_debt_USD_B],0)</f>
        <v>-4.4000000000000004</v>
      </c>
      <c r="I29" s="3">
        <f>_xlfn.XLOOKUP(A29,tbl_fx_rates_data[Date],tbl_fx_rates_data[USD_ZAR])</f>
        <v>17.84</v>
      </c>
      <c r="J29" s="6">
        <f>H29*I29</f>
        <v>-78.496000000000009</v>
      </c>
      <c r="K29" s="6">
        <f>G29-J29</f>
        <v>2269.0991824899997</v>
      </c>
      <c r="L29" s="6">
        <f>_xlfn.XLOOKUP(Table6[[#This Row],[Date]],tbl_naspers_price_data[Date],tbl_naspers_price_data[Market Cap (ZAR B)])</f>
        <v>1092.7909999999999</v>
      </c>
      <c r="M29" s="18">
        <f>1-(L29/K29)</f>
        <v>0.51840315820799687</v>
      </c>
      <c r="N29" s="6">
        <f>K29-L29</f>
        <v>1176.3081824899998</v>
      </c>
    </row>
    <row r="30" spans="1:14">
      <c r="A30" s="5">
        <f>tbl_price_history!A30</f>
        <v>43951</v>
      </c>
      <c r="B30" s="14">
        <f>_xlfn.XLOOKUP(A30,tbl_tencent_market_data[Date],tbl_tencent_market_data[Market Cap (HKD B)])</f>
        <v>3369.7774799999997</v>
      </c>
      <c r="C30" s="1">
        <f>_xlfn.XLOOKUP(A30,tbl_fx_rates_data[Date],tbl_fx_rates_data[HKD_ZAR])</f>
        <v>2.39</v>
      </c>
      <c r="D30" s="3">
        <f>YEAR(EDATE(A30,9))</f>
        <v>2021</v>
      </c>
      <c r="E30" s="6">
        <f>B30*C30</f>
        <v>8053.7681771999996</v>
      </c>
      <c r="F30" s="14">
        <f>_xlfn.XLOOKUP(D30,tbl_ownership[Fiscal_Year],tbl_ownership[Ownership_%])</f>
        <v>0.28999999999999998</v>
      </c>
      <c r="G30" s="6">
        <f>E30*F30</f>
        <v>2335.5927713879996</v>
      </c>
      <c r="H30" s="3">
        <f>_xlfn.XLOOKUP(D30,tbl_netdebt[Fiscal_Year],tbl_netdebt[Net_debt_USD_B],0)</f>
        <v>-3.9</v>
      </c>
      <c r="I30" s="3">
        <f>_xlfn.XLOOKUP(A30,tbl_fx_rates_data[Date],tbl_fx_rates_data[USD_ZAR])</f>
        <v>18.510000000000002</v>
      </c>
      <c r="J30" s="6">
        <f>H30*I30</f>
        <v>-72.189000000000007</v>
      </c>
      <c r="K30" s="6">
        <f>G30-J30</f>
        <v>2407.7817713879995</v>
      </c>
      <c r="L30" s="6">
        <f>_xlfn.XLOOKUP(Table6[[#This Row],[Date]],tbl_naspers_price_data[Date],tbl_naspers_price_data[Market Cap (ZAR B)])</f>
        <v>1240.4938</v>
      </c>
      <c r="M30" s="18">
        <f>1-(L30/K30)</f>
        <v>0.48479807649473983</v>
      </c>
      <c r="N30" s="6">
        <f>K30-L30</f>
        <v>1167.2879713879995</v>
      </c>
    </row>
    <row r="31" spans="1:14">
      <c r="A31" s="5">
        <f>tbl_price_history!A31</f>
        <v>43982</v>
      </c>
      <c r="B31" s="14">
        <f>_xlfn.XLOOKUP(A31,tbl_tencent_market_data[Date],tbl_tencent_market_data[Market Cap (HKD B)])</f>
        <v>3316.4720099999995</v>
      </c>
      <c r="C31" s="1">
        <f>_xlfn.XLOOKUP(A31,tbl_fx_rates_data[Date],tbl_fx_rates_data[HKD_ZAR])</f>
        <v>2.2599999999999998</v>
      </c>
      <c r="D31" s="3">
        <f>YEAR(EDATE(A31,9))</f>
        <v>2021</v>
      </c>
      <c r="E31" s="6">
        <f>B31*C31</f>
        <v>7495.226742599998</v>
      </c>
      <c r="F31" s="14">
        <f>_xlfn.XLOOKUP(D31,tbl_ownership[Fiscal_Year],tbl_ownership[Ownership_%])</f>
        <v>0.28999999999999998</v>
      </c>
      <c r="G31" s="6">
        <f>E31*F31</f>
        <v>2173.6157553539992</v>
      </c>
      <c r="H31" s="3">
        <f>_xlfn.XLOOKUP(D31,tbl_netdebt[Fiscal_Year],tbl_netdebt[Net_debt_USD_B],0)</f>
        <v>-3.9</v>
      </c>
      <c r="I31" s="3">
        <f>_xlfn.XLOOKUP(A31,tbl_fx_rates_data[Date],tbl_fx_rates_data[USD_ZAR])</f>
        <v>17.54</v>
      </c>
      <c r="J31" s="6">
        <f>H31*I31</f>
        <v>-68.405999999999992</v>
      </c>
      <c r="K31" s="6">
        <f>G31-J31</f>
        <v>2242.0217553539992</v>
      </c>
      <c r="L31" s="6">
        <f>_xlfn.XLOOKUP(Table6[[#This Row],[Date]],tbl_naspers_price_data[Date],tbl_naspers_price_data[Market Cap (ZAR B)])</f>
        <v>1193.1784</v>
      </c>
      <c r="M31" s="18">
        <f>1-(L31/K31)</f>
        <v>0.46781140854201675</v>
      </c>
      <c r="N31" s="6">
        <f>K31-L31</f>
        <v>1048.8433553539992</v>
      </c>
    </row>
    <row r="32" spans="1:14">
      <c r="A32" s="5">
        <f>tbl_price_history!A32</f>
        <v>44012</v>
      </c>
      <c r="B32" s="14">
        <f>_xlfn.XLOOKUP(A32,tbl_tencent_market_data[Date],tbl_tencent_market_data[Market Cap (HKD B)])</f>
        <v>4041.4082399999998</v>
      </c>
      <c r="C32" s="1">
        <f>_xlfn.XLOOKUP(A32,tbl_fx_rates_data[Date],tbl_fx_rates_data[HKD_ZAR])</f>
        <v>2.23</v>
      </c>
      <c r="D32" s="3">
        <f>YEAR(EDATE(A32,9))</f>
        <v>2021</v>
      </c>
      <c r="E32" s="6">
        <f>B32*C32</f>
        <v>9012.3403751999995</v>
      </c>
      <c r="F32" s="14">
        <f>_xlfn.XLOOKUP(D32,tbl_ownership[Fiscal_Year],tbl_ownership[Ownership_%])</f>
        <v>0.28999999999999998</v>
      </c>
      <c r="G32" s="6">
        <f>E32*F32</f>
        <v>2613.5787088079996</v>
      </c>
      <c r="H32" s="3">
        <f>_xlfn.XLOOKUP(D32,tbl_netdebt[Fiscal_Year],tbl_netdebt[Net_debt_USD_B],0)</f>
        <v>-3.9</v>
      </c>
      <c r="I32" s="3">
        <f>_xlfn.XLOOKUP(A32,tbl_fx_rates_data[Date],tbl_fx_rates_data[USD_ZAR])</f>
        <v>17.32</v>
      </c>
      <c r="J32" s="6">
        <f>H32*I32</f>
        <v>-67.548000000000002</v>
      </c>
      <c r="K32" s="6">
        <f>G32-J32</f>
        <v>2681.1267088079994</v>
      </c>
      <c r="L32" s="6">
        <f>_xlfn.XLOOKUP(Table6[[#This Row],[Date]],tbl_naspers_price_data[Date],tbl_naspers_price_data[Market Cap (ZAR B)])</f>
        <v>1353.5714</v>
      </c>
      <c r="M32" s="18">
        <f>1-(L32/K32)</f>
        <v>0.49514829136822724</v>
      </c>
      <c r="N32" s="6">
        <f>K32-L32</f>
        <v>1327.5553088079994</v>
      </c>
    </row>
    <row r="33" spans="1:14">
      <c r="A33" s="5">
        <f>tbl_price_history!A33</f>
        <v>44043</v>
      </c>
      <c r="B33" s="14">
        <f>_xlfn.XLOOKUP(A33,tbl_tencent_market_data[Date],tbl_tencent_market_data[Market Cap (HKD B)])</f>
        <v>4328.3678399999999</v>
      </c>
      <c r="C33" s="1">
        <f>_xlfn.XLOOKUP(A33,tbl_fx_rates_data[Date],tbl_fx_rates_data[HKD_ZAR])</f>
        <v>2.2000000000000002</v>
      </c>
      <c r="D33" s="3">
        <f>YEAR(EDATE(A33,9))</f>
        <v>2021</v>
      </c>
      <c r="E33" s="6">
        <f>B33*C33</f>
        <v>9522.4092479999999</v>
      </c>
      <c r="F33" s="14">
        <f>_xlfn.XLOOKUP(D33,tbl_ownership[Fiscal_Year],tbl_ownership[Ownership_%])</f>
        <v>0.28999999999999998</v>
      </c>
      <c r="G33" s="6">
        <f>E33*F33</f>
        <v>2761.4986819199999</v>
      </c>
      <c r="H33" s="3">
        <f>_xlfn.XLOOKUP(D33,tbl_netdebt[Fiscal_Year],tbl_netdebt[Net_debt_USD_B],0)</f>
        <v>-3.9</v>
      </c>
      <c r="I33" s="3">
        <f>_xlfn.XLOOKUP(A33,tbl_fx_rates_data[Date],tbl_fx_rates_data[USD_ZAR])</f>
        <v>17.010000000000002</v>
      </c>
      <c r="J33" s="6">
        <f>H33*I33</f>
        <v>-66.338999999999999</v>
      </c>
      <c r="K33" s="6">
        <f>G33-J33</f>
        <v>2827.8376819199998</v>
      </c>
      <c r="L33" s="6">
        <f>_xlfn.XLOOKUP(Table6[[#This Row],[Date]],tbl_naspers_price_data[Date],tbl_naspers_price_data[Market Cap (ZAR B)])</f>
        <v>1346.8518000000001</v>
      </c>
      <c r="M33" s="18">
        <f>1-(L33/K33)</f>
        <v>0.52371672228176247</v>
      </c>
      <c r="N33" s="6">
        <f>K33-L33</f>
        <v>1480.9858819199997</v>
      </c>
    </row>
    <row r="34" spans="1:14">
      <c r="A34" s="5">
        <f>tbl_price_history!A34</f>
        <v>44074</v>
      </c>
      <c r="B34" s="14">
        <f>_xlfn.XLOOKUP(A34,tbl_tencent_market_data[Date],tbl_tencent_market_data[Market Cap (HKD B)])</f>
        <v>4299.9443099999999</v>
      </c>
      <c r="C34" s="1">
        <f>_xlfn.XLOOKUP(A34,tbl_fx_rates_data[Date],tbl_fx_rates_data[HKD_ZAR])</f>
        <v>2.19</v>
      </c>
      <c r="D34" s="3">
        <f>YEAR(EDATE(A34,9))</f>
        <v>2021</v>
      </c>
      <c r="E34" s="6">
        <f>B34*C34</f>
        <v>9416.8780389000003</v>
      </c>
      <c r="F34" s="14">
        <f>_xlfn.XLOOKUP(D34,tbl_ownership[Fiscal_Year],tbl_ownership[Ownership_%])</f>
        <v>0.28999999999999998</v>
      </c>
      <c r="G34" s="6">
        <f>E34*F34</f>
        <v>2730.8946312809999</v>
      </c>
      <c r="H34" s="3">
        <f>_xlfn.XLOOKUP(D34,tbl_netdebt[Fiscal_Year],tbl_netdebt[Net_debt_USD_B],0)</f>
        <v>-3.9</v>
      </c>
      <c r="I34" s="3">
        <f>_xlfn.XLOOKUP(A34,tbl_fx_rates_data[Date],tbl_fx_rates_data[USD_ZAR])</f>
        <v>16.940000000000001</v>
      </c>
      <c r="J34" s="6">
        <f>H34*I34</f>
        <v>-66.066000000000003</v>
      </c>
      <c r="K34" s="6">
        <f>G34-J34</f>
        <v>2796.9606312809997</v>
      </c>
      <c r="L34" s="6">
        <f>_xlfn.XLOOKUP(Table6[[#This Row],[Date]],tbl_naspers_price_data[Date],tbl_naspers_price_data[Market Cap (ZAR B)])</f>
        <v>1323.4616000000001</v>
      </c>
      <c r="M34" s="18">
        <f>1-(L34/K34)</f>
        <v>0.52682151289563972</v>
      </c>
      <c r="N34" s="6">
        <f>K34-L34</f>
        <v>1473.4990312809996</v>
      </c>
    </row>
    <row r="35" spans="1:14">
      <c r="A35" s="5">
        <f>tbl_price_history!A35</f>
        <v>44104</v>
      </c>
      <c r="B35" s="14">
        <f>_xlfn.XLOOKUP(A35,tbl_tencent_market_data[Date],tbl_tencent_market_data[Market Cap (HKD B)])</f>
        <v>4145.93055</v>
      </c>
      <c r="C35" s="1">
        <f>_xlfn.XLOOKUP(A35,tbl_fx_rates_data[Date],tbl_fx_rates_data[HKD_ZAR])</f>
        <v>2.16</v>
      </c>
      <c r="D35" s="3">
        <f>YEAR(EDATE(A35,9))</f>
        <v>2021</v>
      </c>
      <c r="E35" s="6">
        <f>B35*C35</f>
        <v>8955.2099880000005</v>
      </c>
      <c r="F35" s="14">
        <f>_xlfn.XLOOKUP(D35,tbl_ownership[Fiscal_Year],tbl_ownership[Ownership_%])</f>
        <v>0.28999999999999998</v>
      </c>
      <c r="G35" s="6">
        <f>E35*F35</f>
        <v>2597.0108965200002</v>
      </c>
      <c r="H35" s="3">
        <f>_xlfn.XLOOKUP(D35,tbl_netdebt[Fiscal_Year],tbl_netdebt[Net_debt_USD_B],0)</f>
        <v>-3.9</v>
      </c>
      <c r="I35" s="3">
        <f>_xlfn.XLOOKUP(A35,tbl_fx_rates_data[Date],tbl_fx_rates_data[USD_ZAR])</f>
        <v>16.73</v>
      </c>
      <c r="J35" s="6">
        <f>H35*I35</f>
        <v>-65.247</v>
      </c>
      <c r="K35" s="6">
        <f>G35-J35</f>
        <v>2662.25789652</v>
      </c>
      <c r="L35" s="6">
        <f>_xlfn.XLOOKUP(Table6[[#This Row],[Date]],tbl_naspers_price_data[Date],tbl_naspers_price_data[Market Cap (ZAR B)])</f>
        <v>1266.6659999999999</v>
      </c>
      <c r="M35" s="18">
        <f>1-(L35/K35)</f>
        <v>0.52421363773369345</v>
      </c>
      <c r="N35" s="6">
        <f>K35-L35</f>
        <v>1395.5918965200001</v>
      </c>
    </row>
    <row r="36" spans="1:14">
      <c r="A36" s="5">
        <f>tbl_price_history!A36</f>
        <v>44135</v>
      </c>
      <c r="B36" s="14">
        <f>_xlfn.XLOOKUP(A36,tbl_tencent_market_data[Date],tbl_tencent_market_data[Market Cap (HKD B)])</f>
        <v>4790.3183099999997</v>
      </c>
      <c r="C36" s="1">
        <f>_xlfn.XLOOKUP(A36,tbl_fx_rates_data[Date],tbl_fx_rates_data[HKD_ZAR])</f>
        <v>2.1</v>
      </c>
      <c r="D36" s="3">
        <f>YEAR(EDATE(A36,9))</f>
        <v>2021</v>
      </c>
      <c r="E36" s="6">
        <f>B36*C36</f>
        <v>10059.668451</v>
      </c>
      <c r="F36" s="14">
        <f>_xlfn.XLOOKUP(D36,tbl_ownership[Fiscal_Year],tbl_ownership[Ownership_%])</f>
        <v>0.28999999999999998</v>
      </c>
      <c r="G36" s="6">
        <f>E36*F36</f>
        <v>2917.3038507899996</v>
      </c>
      <c r="H36" s="3">
        <f>_xlfn.XLOOKUP(D36,tbl_netdebt[Fiscal_Year],tbl_netdebt[Net_debt_USD_B],0)</f>
        <v>-3.9</v>
      </c>
      <c r="I36" s="3">
        <f>_xlfn.XLOOKUP(A36,tbl_fx_rates_data[Date],tbl_fx_rates_data[USD_ZAR])</f>
        <v>16.239999999999998</v>
      </c>
      <c r="J36" s="6">
        <f>H36*I36</f>
        <v>-63.335999999999991</v>
      </c>
      <c r="K36" s="6">
        <f>G36-J36</f>
        <v>2980.6398507899994</v>
      </c>
      <c r="L36" s="6">
        <f>_xlfn.XLOOKUP(Table6[[#This Row],[Date]],tbl_naspers_price_data[Date],tbl_naspers_price_data[Market Cap (ZAR B)])</f>
        <v>1352.8009999999999</v>
      </c>
      <c r="M36" s="18">
        <f>1-(L36/K36)</f>
        <v>0.54613738401120526</v>
      </c>
      <c r="N36" s="6">
        <f>K36-L36</f>
        <v>1627.8388507899995</v>
      </c>
    </row>
    <row r="37" spans="1:14">
      <c r="A37" s="5">
        <f>tbl_price_history!A37</f>
        <v>44165</v>
      </c>
      <c r="B37" s="14">
        <f>_xlfn.XLOOKUP(A37,tbl_tencent_market_data[Date],tbl_tencent_market_data[Market Cap (HKD B)])</f>
        <v>4563.3841199999997</v>
      </c>
      <c r="C37" s="1">
        <f>_xlfn.XLOOKUP(A37,tbl_fx_rates_data[Date],tbl_fx_rates_data[HKD_ZAR])</f>
        <v>1.96</v>
      </c>
      <c r="D37" s="3">
        <f>YEAR(EDATE(A37,9))</f>
        <v>2021</v>
      </c>
      <c r="E37" s="6">
        <f>B37*C37</f>
        <v>8944.2328751999994</v>
      </c>
      <c r="F37" s="14">
        <f>_xlfn.XLOOKUP(D37,tbl_ownership[Fiscal_Year],tbl_ownership[Ownership_%])</f>
        <v>0.28999999999999998</v>
      </c>
      <c r="G37" s="6">
        <f>E37*F37</f>
        <v>2593.8275338079998</v>
      </c>
      <c r="H37" s="3">
        <f>_xlfn.XLOOKUP(D37,tbl_netdebt[Fiscal_Year],tbl_netdebt[Net_debt_USD_B],0)</f>
        <v>-3.9</v>
      </c>
      <c r="I37" s="3">
        <f>_xlfn.XLOOKUP(A37,tbl_fx_rates_data[Date],tbl_fx_rates_data[USD_ZAR])</f>
        <v>15.47</v>
      </c>
      <c r="J37" s="6">
        <f>H37*I37</f>
        <v>-60.332999999999998</v>
      </c>
      <c r="K37" s="6">
        <f>G37-J37</f>
        <v>2654.1605338079999</v>
      </c>
      <c r="L37" s="6">
        <f>_xlfn.XLOOKUP(Table6[[#This Row],[Date]],tbl_naspers_price_data[Date],tbl_naspers_price_data[Market Cap (ZAR B)])</f>
        <v>1338.9551999999999</v>
      </c>
      <c r="M37" s="18">
        <f>1-(L37/K37)</f>
        <v>0.49552591753786546</v>
      </c>
      <c r="N37" s="6">
        <f>K37-L37</f>
        <v>1315.205333808</v>
      </c>
    </row>
    <row r="38" spans="1:14">
      <c r="A38" s="5">
        <f>tbl_price_history!A38</f>
        <v>44196</v>
      </c>
      <c r="B38" s="14">
        <f>_xlfn.XLOOKUP(A38,tbl_tencent_market_data[Date],tbl_tencent_market_data[Market Cap (HKD B)])</f>
        <v>4587.7212</v>
      </c>
      <c r="C38" s="1">
        <f>_xlfn.XLOOKUP(A38,tbl_fx_rates_data[Date],tbl_fx_rates_data[HKD_ZAR])</f>
        <v>1.89</v>
      </c>
      <c r="D38" s="3">
        <f>YEAR(EDATE(A38,9))</f>
        <v>2021</v>
      </c>
      <c r="E38" s="6">
        <f>B38*C38</f>
        <v>8670.793067999999</v>
      </c>
      <c r="F38" s="14">
        <f>_xlfn.XLOOKUP(D38,tbl_ownership[Fiscal_Year],tbl_ownership[Ownership_%])</f>
        <v>0.28999999999999998</v>
      </c>
      <c r="G38" s="6">
        <f>E38*F38</f>
        <v>2514.5299897199993</v>
      </c>
      <c r="H38" s="3">
        <f>_xlfn.XLOOKUP(D38,tbl_netdebt[Fiscal_Year],tbl_netdebt[Net_debt_USD_B],0)</f>
        <v>-3.9</v>
      </c>
      <c r="I38" s="3">
        <f>_xlfn.XLOOKUP(A38,tbl_fx_rates_data[Date],tbl_fx_rates_data[USD_ZAR])</f>
        <v>14.69</v>
      </c>
      <c r="J38" s="6">
        <f>H38*I38</f>
        <v>-57.290999999999997</v>
      </c>
      <c r="K38" s="6">
        <f>G38-J38</f>
        <v>2571.8209897199995</v>
      </c>
      <c r="L38" s="6">
        <f>_xlfn.XLOOKUP(Table6[[#This Row],[Date]],tbl_naspers_price_data[Date],tbl_naspers_price_data[Market Cap (ZAR B)])</f>
        <v>1292.0892000000001</v>
      </c>
      <c r="M38" s="18">
        <f>1-(L38/K38)</f>
        <v>0.49759753685629848</v>
      </c>
      <c r="N38" s="6">
        <f>K38-L38</f>
        <v>1279.7317897199994</v>
      </c>
    </row>
    <row r="39" spans="1:14">
      <c r="A39" s="5">
        <f>tbl_price_history!A39</f>
        <v>44227</v>
      </c>
      <c r="B39" s="14">
        <f>_xlfn.XLOOKUP(A39,tbl_tencent_market_data[Date],tbl_tencent_market_data[Market Cap (HKD B)])</f>
        <v>5523.8814899999998</v>
      </c>
      <c r="C39" s="1">
        <f>_xlfn.XLOOKUP(A39,tbl_fx_rates_data[Date],tbl_fx_rates_data[HKD_ZAR])</f>
        <v>1.96</v>
      </c>
      <c r="D39" s="3">
        <f>YEAR(EDATE(A39,9))</f>
        <v>2021</v>
      </c>
      <c r="E39" s="6">
        <f>B39*C39</f>
        <v>10826.8077204</v>
      </c>
      <c r="F39" s="14">
        <f>_xlfn.XLOOKUP(D39,tbl_ownership[Fiscal_Year],tbl_ownership[Ownership_%])</f>
        <v>0.28999999999999998</v>
      </c>
      <c r="G39" s="6">
        <f>E39*F39</f>
        <v>3139.7742389159998</v>
      </c>
      <c r="H39" s="3">
        <f>_xlfn.XLOOKUP(D39,tbl_netdebt[Fiscal_Year],tbl_netdebt[Net_debt_USD_B],0)</f>
        <v>-3.9</v>
      </c>
      <c r="I39" s="3">
        <f>_xlfn.XLOOKUP(A39,tbl_fx_rates_data[Date],tbl_fx_rates_data[USD_ZAR])</f>
        <v>15.16</v>
      </c>
      <c r="J39" s="6">
        <f>H39*I39</f>
        <v>-59.124000000000002</v>
      </c>
      <c r="K39" s="6">
        <f>G39-J39</f>
        <v>3198.8982389159996</v>
      </c>
      <c r="L39" s="6">
        <f>_xlfn.XLOOKUP(Table6[[#This Row],[Date]],tbl_naspers_price_data[Date],tbl_naspers_price_data[Market Cap (ZAR B)])</f>
        <v>1488.3486</v>
      </c>
      <c r="M39" s="18">
        <f>1-(L39/K39)</f>
        <v>0.53473087018099341</v>
      </c>
      <c r="N39" s="6">
        <f>K39-L39</f>
        <v>1710.5496389159996</v>
      </c>
    </row>
    <row r="40" spans="1:14">
      <c r="A40" s="5">
        <f>tbl_price_history!A40</f>
        <v>44255</v>
      </c>
      <c r="B40" s="14">
        <f>_xlfn.XLOOKUP(A40,tbl_tencent_market_data[Date],tbl_tencent_market_data[Market Cap (HKD B)])</f>
        <v>5369.8677299999999</v>
      </c>
      <c r="C40" s="1">
        <f>_xlfn.XLOOKUP(A40,tbl_fx_rates_data[Date],tbl_fx_rates_data[HKD_ZAR])</f>
        <v>1.95</v>
      </c>
      <c r="D40" s="3">
        <f>YEAR(EDATE(A40,9))</f>
        <v>2021</v>
      </c>
      <c r="E40" s="6">
        <f>B40*C40</f>
        <v>10471.2420735</v>
      </c>
      <c r="F40" s="14">
        <f>_xlfn.XLOOKUP(D40,tbl_ownership[Fiscal_Year],tbl_ownership[Ownership_%])</f>
        <v>0.28999999999999998</v>
      </c>
      <c r="G40" s="6">
        <f>E40*F40</f>
        <v>3036.6602013149995</v>
      </c>
      <c r="H40" s="3">
        <f>_xlfn.XLOOKUP(D40,tbl_netdebt[Fiscal_Year],tbl_netdebt[Net_debt_USD_B],0)</f>
        <v>-3.9</v>
      </c>
      <c r="I40" s="3">
        <f>_xlfn.XLOOKUP(A40,tbl_fx_rates_data[Date],tbl_fx_rates_data[USD_ZAR])</f>
        <v>15.09</v>
      </c>
      <c r="J40" s="6">
        <f>H40*I40</f>
        <v>-58.850999999999999</v>
      </c>
      <c r="K40" s="6">
        <f>G40-J40</f>
        <v>3095.5112013149997</v>
      </c>
      <c r="L40" s="6">
        <f>_xlfn.XLOOKUP(Table6[[#This Row],[Date]],tbl_naspers_price_data[Date],tbl_naspers_price_data[Market Cap (ZAR B)])</f>
        <v>1505.4472000000001</v>
      </c>
      <c r="M40" s="18">
        <f>1-(L40/K40)</f>
        <v>0.51366766194854241</v>
      </c>
      <c r="N40" s="6">
        <f>K40-L40</f>
        <v>1590.0640013149996</v>
      </c>
    </row>
    <row r="41" spans="1:14">
      <c r="A41" s="5">
        <f>tbl_price_history!A41</f>
        <v>44286</v>
      </c>
      <c r="B41" s="14">
        <f>_xlfn.XLOOKUP(A41,tbl_tencent_market_data[Date],tbl_tencent_market_data[Market Cap (HKD B)])</f>
        <v>4944.3320700000004</v>
      </c>
      <c r="C41" s="1">
        <f>_xlfn.XLOOKUP(A41,tbl_fx_rates_data[Date],tbl_fx_rates_data[HKD_ZAR])</f>
        <v>1.9</v>
      </c>
      <c r="D41" s="3">
        <f>YEAR(EDATE(A41,9))</f>
        <v>2021</v>
      </c>
      <c r="E41" s="6">
        <f>B41*C41</f>
        <v>9394.2309330000007</v>
      </c>
      <c r="F41" s="14">
        <f>_xlfn.XLOOKUP(D41,tbl_ownership[Fiscal_Year],tbl_ownership[Ownership_%])</f>
        <v>0.28999999999999998</v>
      </c>
      <c r="G41" s="6">
        <f>E41*F41</f>
        <v>2724.32697057</v>
      </c>
      <c r="H41" s="3">
        <f>_xlfn.XLOOKUP(D41,tbl_netdebt[Fiscal_Year],tbl_netdebt[Net_debt_USD_B],0)</f>
        <v>-3.9</v>
      </c>
      <c r="I41" s="3">
        <f>_xlfn.XLOOKUP(A41,tbl_fx_rates_data[Date],tbl_fx_rates_data[USD_ZAR])</f>
        <v>14.77</v>
      </c>
      <c r="J41" s="6">
        <f>H41*I41</f>
        <v>-57.602999999999994</v>
      </c>
      <c r="K41" s="6">
        <f>G41-J41</f>
        <v>2781.92997057</v>
      </c>
      <c r="L41" s="6">
        <f>_xlfn.XLOOKUP(Table6[[#This Row],[Date]],tbl_naspers_price_data[Date],tbl_naspers_price_data[Market Cap (ZAR B)])</f>
        <v>1511.3322000000001</v>
      </c>
      <c r="M41" s="18">
        <f>1-(L41/K41)</f>
        <v>0.45673247853527477</v>
      </c>
      <c r="N41" s="6">
        <f>K41-L41</f>
        <v>1270.59777057</v>
      </c>
    </row>
    <row r="42" spans="1:14">
      <c r="A42" s="5">
        <f>tbl_price_history!A42</f>
        <v>44316</v>
      </c>
      <c r="B42" s="14">
        <f>_xlfn.XLOOKUP(A42,tbl_tencent_market_data[Date],tbl_tencent_market_data[Market Cap (HKD B)])</f>
        <v>5049.7624800000003</v>
      </c>
      <c r="C42" s="1">
        <f>_xlfn.XLOOKUP(A42,tbl_fx_rates_data[Date],tbl_fx_rates_data[HKD_ZAR])</f>
        <v>1.87</v>
      </c>
      <c r="D42" s="3">
        <f>YEAR(EDATE(A42,9))</f>
        <v>2022</v>
      </c>
      <c r="E42" s="6">
        <f>B42*C42</f>
        <v>9443.0558376000008</v>
      </c>
      <c r="F42" s="14">
        <f>_xlfn.XLOOKUP(D42,tbl_ownership[Fiscal_Year],tbl_ownership[Ownership_%])</f>
        <v>0.26</v>
      </c>
      <c r="G42" s="6">
        <f>E42*F42</f>
        <v>2455.1945177760003</v>
      </c>
      <c r="H42" s="3">
        <f>_xlfn.XLOOKUP(D42,tbl_netdebt[Fiscal_Year],tbl_netdebt[Net_debt_USD_B],0)</f>
        <v>0.8</v>
      </c>
      <c r="I42" s="3">
        <f>_xlfn.XLOOKUP(A42,tbl_fx_rates_data[Date],tbl_fx_rates_data[USD_ZAR])</f>
        <v>14.49</v>
      </c>
      <c r="J42" s="6">
        <f>H42*I42</f>
        <v>11.592000000000001</v>
      </c>
      <c r="K42" s="6">
        <f>G42-J42</f>
        <v>2443.6025177760002</v>
      </c>
      <c r="L42" s="6">
        <f>_xlfn.XLOOKUP(Table6[[#This Row],[Date]],tbl_naspers_price_data[Date],tbl_naspers_price_data[Market Cap (ZAR B)])</f>
        <v>961.85694000000012</v>
      </c>
      <c r="M42" s="18">
        <f>1-(L42/K42)</f>
        <v>0.6063774967479505</v>
      </c>
      <c r="N42" s="6">
        <f>K42-L42</f>
        <v>1481.7455777760001</v>
      </c>
    </row>
    <row r="43" spans="1:14">
      <c r="A43" s="5">
        <f>tbl_price_history!A43</f>
        <v>44347</v>
      </c>
      <c r="B43" s="14">
        <f>_xlfn.XLOOKUP(A43,tbl_tencent_market_data[Date],tbl_tencent_market_data[Market Cap (HKD B)])</f>
        <v>5017.3433099999993</v>
      </c>
      <c r="C43" s="1">
        <f>_xlfn.XLOOKUP(A43,tbl_fx_rates_data[Date],tbl_fx_rates_data[HKD_ZAR])</f>
        <v>1.77</v>
      </c>
      <c r="D43" s="3">
        <f>YEAR(EDATE(A43,9))</f>
        <v>2022</v>
      </c>
      <c r="E43" s="6">
        <f>B43*C43</f>
        <v>8880.697658699999</v>
      </c>
      <c r="F43" s="14">
        <f>_xlfn.XLOOKUP(D43,tbl_ownership[Fiscal_Year],tbl_ownership[Ownership_%])</f>
        <v>0.26</v>
      </c>
      <c r="G43" s="6">
        <f>E43*F43</f>
        <v>2308.9813912619998</v>
      </c>
      <c r="H43" s="3">
        <f>_xlfn.XLOOKUP(D43,tbl_netdebt[Fiscal_Year],tbl_netdebt[Net_debt_USD_B],0)</f>
        <v>0.8</v>
      </c>
      <c r="I43" s="3">
        <f>_xlfn.XLOOKUP(A43,tbl_fx_rates_data[Date],tbl_fx_rates_data[USD_ZAR])</f>
        <v>13.72</v>
      </c>
      <c r="J43" s="6">
        <f>H43*I43</f>
        <v>10.976000000000001</v>
      </c>
      <c r="K43" s="6">
        <f>G43-J43</f>
        <v>2298.0053912619996</v>
      </c>
      <c r="L43" s="6">
        <f>_xlfn.XLOOKUP(Table6[[#This Row],[Date]],tbl_naspers_price_data[Date],tbl_naspers_price_data[Market Cap (ZAR B)])</f>
        <v>886.17016999999998</v>
      </c>
      <c r="M43" s="18">
        <f>1-(L43/K43)</f>
        <v>0.61437419887281453</v>
      </c>
      <c r="N43" s="6">
        <f>K43-L43</f>
        <v>1411.8352212619998</v>
      </c>
    </row>
    <row r="44" spans="1:14">
      <c r="A44" s="5">
        <f>tbl_price_history!A44</f>
        <v>44377</v>
      </c>
      <c r="B44" s="14">
        <f>_xlfn.XLOOKUP(A44,tbl_tencent_market_data[Date],tbl_tencent_market_data[Market Cap (HKD B)])</f>
        <v>4747.6376099999989</v>
      </c>
      <c r="C44" s="1">
        <f>_xlfn.XLOOKUP(A44,tbl_fx_rates_data[Date],tbl_fx_rates_data[HKD_ZAR])</f>
        <v>1.84</v>
      </c>
      <c r="D44" s="3">
        <f>YEAR(EDATE(A44,9))</f>
        <v>2022</v>
      </c>
      <c r="E44" s="6">
        <f>B44*C44</f>
        <v>8735.6532023999989</v>
      </c>
      <c r="F44" s="14">
        <f>_xlfn.XLOOKUP(D44,tbl_ownership[Fiscal_Year],tbl_ownership[Ownership_%])</f>
        <v>0.26</v>
      </c>
      <c r="G44" s="6">
        <f>E44*F44</f>
        <v>2271.2698326239997</v>
      </c>
      <c r="H44" s="3">
        <f>_xlfn.XLOOKUP(D44,tbl_netdebt[Fiscal_Year],tbl_netdebt[Net_debt_USD_B],0)</f>
        <v>0.8</v>
      </c>
      <c r="I44" s="3">
        <f>_xlfn.XLOOKUP(A44,tbl_fx_rates_data[Date],tbl_fx_rates_data[USD_ZAR])</f>
        <v>14.27</v>
      </c>
      <c r="J44" s="6">
        <f>H44*I44</f>
        <v>11.416</v>
      </c>
      <c r="K44" s="6">
        <f>G44-J44</f>
        <v>2259.8538326239996</v>
      </c>
      <c r="L44" s="6">
        <f>_xlfn.XLOOKUP(Table6[[#This Row],[Date]],tbl_naspers_price_data[Date],tbl_naspers_price_data[Market Cap (ZAR B)])</f>
        <v>871.13162</v>
      </c>
      <c r="M44" s="18">
        <f>1-(L44/K44)</f>
        <v>0.61451859964389954</v>
      </c>
      <c r="N44" s="6">
        <f>K44-L44</f>
        <v>1388.7222126239994</v>
      </c>
    </row>
    <row r="45" spans="1:14">
      <c r="A45" s="5">
        <f>tbl_price_history!A45</f>
        <v>44408</v>
      </c>
      <c r="B45" s="14">
        <f>_xlfn.XLOOKUP(A45,tbl_tencent_market_data[Date],tbl_tencent_market_data[Market Cap (HKD B)])</f>
        <v>3894.0236099999997</v>
      </c>
      <c r="C45" s="1">
        <f>_xlfn.XLOOKUP(A45,tbl_fx_rates_data[Date],tbl_fx_rates_data[HKD_ZAR])</f>
        <v>1.87</v>
      </c>
      <c r="D45" s="3">
        <f>YEAR(EDATE(A45,9))</f>
        <v>2022</v>
      </c>
      <c r="E45" s="6">
        <f>B45*C45</f>
        <v>7281.8241507000002</v>
      </c>
      <c r="F45" s="14">
        <f>_xlfn.XLOOKUP(D45,tbl_ownership[Fiscal_Year],tbl_ownership[Ownership_%])</f>
        <v>0.26</v>
      </c>
      <c r="G45" s="6">
        <f>E45*F45</f>
        <v>1893.2742791820001</v>
      </c>
      <c r="H45" s="3">
        <f>_xlfn.XLOOKUP(D45,tbl_netdebt[Fiscal_Year],tbl_netdebt[Net_debt_USD_B],0)</f>
        <v>0.8</v>
      </c>
      <c r="I45" s="3">
        <f>_xlfn.XLOOKUP(A45,tbl_fx_rates_data[Date],tbl_fx_rates_data[USD_ZAR])</f>
        <v>14.56</v>
      </c>
      <c r="J45" s="6">
        <f>H45*I45</f>
        <v>11.648000000000001</v>
      </c>
      <c r="K45" s="6">
        <f>G45-J45</f>
        <v>1881.6262791820002</v>
      </c>
      <c r="L45" s="6">
        <f>_xlfn.XLOOKUP(Table6[[#This Row],[Date]],tbl_naspers_price_data[Date],tbl_naspers_price_data[Market Cap (ZAR B)])</f>
        <v>819.94242999999994</v>
      </c>
      <c r="M45" s="18">
        <f>1-(L45/K45)</f>
        <v>0.56423736260929891</v>
      </c>
      <c r="N45" s="6">
        <f>K45-L45</f>
        <v>1061.6838491820004</v>
      </c>
    </row>
    <row r="46" spans="1:14">
      <c r="A46" s="5">
        <f>tbl_price_history!A46</f>
        <v>44439</v>
      </c>
      <c r="B46" s="14">
        <f>_xlfn.XLOOKUP(A46,tbl_tencent_market_data[Date],tbl_tencent_market_data[Market Cap (HKD B)])</f>
        <v>3911.9131799999996</v>
      </c>
      <c r="C46" s="1">
        <f>_xlfn.XLOOKUP(A46,tbl_fx_rates_data[Date],tbl_fx_rates_data[HKD_ZAR])</f>
        <v>1.87</v>
      </c>
      <c r="D46" s="3">
        <f>YEAR(EDATE(A46,9))</f>
        <v>2022</v>
      </c>
      <c r="E46" s="6">
        <f>B46*C46</f>
        <v>7315.2776465999996</v>
      </c>
      <c r="F46" s="14">
        <f>_xlfn.XLOOKUP(D46,tbl_ownership[Fiscal_Year],tbl_ownership[Ownership_%])</f>
        <v>0.26</v>
      </c>
      <c r="G46" s="6">
        <f>E46*F46</f>
        <v>1901.9721881159999</v>
      </c>
      <c r="H46" s="3">
        <f>_xlfn.XLOOKUP(D46,tbl_netdebt[Fiscal_Year],tbl_netdebt[Net_debt_USD_B],0)</f>
        <v>0.8</v>
      </c>
      <c r="I46" s="3">
        <f>_xlfn.XLOOKUP(A46,tbl_fx_rates_data[Date],tbl_fx_rates_data[USD_ZAR])</f>
        <v>14.51</v>
      </c>
      <c r="J46" s="6">
        <f>H46*I46</f>
        <v>11.608000000000001</v>
      </c>
      <c r="K46" s="6">
        <f>G46-J46</f>
        <v>1890.3641881159999</v>
      </c>
      <c r="L46" s="6">
        <f>_xlfn.XLOOKUP(Table6[[#This Row],[Date]],tbl_naspers_price_data[Date],tbl_naspers_price_data[Market Cap (ZAR B)])</f>
        <v>720.57176000000004</v>
      </c>
      <c r="M46" s="18">
        <f>1-(L46/K46)</f>
        <v>0.61881855119243134</v>
      </c>
      <c r="N46" s="6">
        <f>K46-L46</f>
        <v>1169.7924281159999</v>
      </c>
    </row>
    <row r="47" spans="1:14">
      <c r="A47" s="5">
        <f>tbl_price_history!A47</f>
        <v>44469</v>
      </c>
      <c r="B47" s="14">
        <f>_xlfn.XLOOKUP(A47,tbl_tencent_market_data[Date],tbl_tencent_market_data[Market Cap (HKD B)])</f>
        <v>3750.9070499999998</v>
      </c>
      <c r="C47" s="1">
        <f>_xlfn.XLOOKUP(A47,tbl_fx_rates_data[Date],tbl_fx_rates_data[HKD_ZAR])</f>
        <v>1.94</v>
      </c>
      <c r="D47" s="3">
        <f>YEAR(EDATE(A47,9))</f>
        <v>2022</v>
      </c>
      <c r="E47" s="6">
        <f>B47*C47</f>
        <v>7276.7596769999991</v>
      </c>
      <c r="F47" s="14">
        <f>_xlfn.XLOOKUP(D47,tbl_ownership[Fiscal_Year],tbl_ownership[Ownership_%])</f>
        <v>0.26</v>
      </c>
      <c r="G47" s="6">
        <f>E47*F47</f>
        <v>1891.9575160199997</v>
      </c>
      <c r="H47" s="3">
        <f>_xlfn.XLOOKUP(D47,tbl_netdebt[Fiscal_Year],tbl_netdebt[Net_debt_USD_B],0)</f>
        <v>0.8</v>
      </c>
      <c r="I47" s="3">
        <f>_xlfn.XLOOKUP(A47,tbl_fx_rates_data[Date],tbl_fx_rates_data[USD_ZAR])</f>
        <v>15.09</v>
      </c>
      <c r="J47" s="6">
        <f>H47*I47</f>
        <v>12.072000000000001</v>
      </c>
      <c r="K47" s="6">
        <f>G47-J47</f>
        <v>1879.8855160199998</v>
      </c>
      <c r="L47" s="6">
        <f>_xlfn.XLOOKUP(Table6[[#This Row],[Date]],tbl_naspers_price_data[Date],tbl_naspers_price_data[Market Cap (ZAR B)])</f>
        <v>724.23332000000005</v>
      </c>
      <c r="M47" s="18">
        <f>1-(L47/K47)</f>
        <v>0.61474605031623897</v>
      </c>
      <c r="N47" s="6">
        <f>K47-L47</f>
        <v>1155.6521960199998</v>
      </c>
    </row>
    <row r="48" spans="1:14">
      <c r="A48" s="5">
        <f>tbl_price_history!A48</f>
        <v>44500</v>
      </c>
      <c r="B48" s="14">
        <f>_xlfn.XLOOKUP(A48,tbl_tencent_market_data[Date],tbl_tencent_market_data[Market Cap (HKD B)])</f>
        <v>3910.2786000000001</v>
      </c>
      <c r="C48" s="1">
        <f>_xlfn.XLOOKUP(A48,tbl_fx_rates_data[Date],tbl_fx_rates_data[HKD_ZAR])</f>
        <v>1.95</v>
      </c>
      <c r="D48" s="3">
        <f>YEAR(EDATE(A48,9))</f>
        <v>2022</v>
      </c>
      <c r="E48" s="6">
        <f>B48*C48</f>
        <v>7625.0432700000001</v>
      </c>
      <c r="F48" s="14">
        <f>_xlfn.XLOOKUP(D48,tbl_ownership[Fiscal_Year],tbl_ownership[Ownership_%])</f>
        <v>0.26</v>
      </c>
      <c r="G48" s="6">
        <f>E48*F48</f>
        <v>1982.5112502000002</v>
      </c>
      <c r="H48" s="3">
        <f>_xlfn.XLOOKUP(D48,tbl_netdebt[Fiscal_Year],tbl_netdebt[Net_debt_USD_B],0)</f>
        <v>0.8</v>
      </c>
      <c r="I48" s="3">
        <f>_xlfn.XLOOKUP(A48,tbl_fx_rates_data[Date],tbl_fx_rates_data[USD_ZAR])</f>
        <v>15.2</v>
      </c>
      <c r="J48" s="6">
        <f>H48*I48</f>
        <v>12.16</v>
      </c>
      <c r="K48" s="6">
        <f>G48-J48</f>
        <v>1970.3512502000001</v>
      </c>
      <c r="L48" s="6">
        <f>_xlfn.XLOOKUP(Table6[[#This Row],[Date]],tbl_naspers_price_data[Date],tbl_naspers_price_data[Market Cap (ZAR B)])</f>
        <v>752.58135000000016</v>
      </c>
      <c r="M48" s="18">
        <f>1-(L48/K48)</f>
        <v>0.61804711219707165</v>
      </c>
      <c r="N48" s="6">
        <f>K48-L48</f>
        <v>1217.7699001999999</v>
      </c>
    </row>
    <row r="49" spans="1:14">
      <c r="A49" s="5">
        <f>tbl_price_history!A49</f>
        <v>44530</v>
      </c>
      <c r="B49" s="14">
        <f>_xlfn.XLOOKUP(A49,tbl_tencent_market_data[Date],tbl_tencent_market_data[Market Cap (HKD B)])</f>
        <v>3734.6520599999999</v>
      </c>
      <c r="C49" s="1">
        <f>_xlfn.XLOOKUP(A49,tbl_fx_rates_data[Date],tbl_fx_rates_data[HKD_ZAR])</f>
        <v>2.04</v>
      </c>
      <c r="D49" s="3">
        <f>YEAR(EDATE(A49,9))</f>
        <v>2022</v>
      </c>
      <c r="E49" s="6">
        <f>B49*C49</f>
        <v>7618.6902024000001</v>
      </c>
      <c r="F49" s="14">
        <f>_xlfn.XLOOKUP(D49,tbl_ownership[Fiscal_Year],tbl_ownership[Ownership_%])</f>
        <v>0.26</v>
      </c>
      <c r="G49" s="6">
        <f>E49*F49</f>
        <v>1980.8594526240001</v>
      </c>
      <c r="H49" s="3">
        <f>_xlfn.XLOOKUP(D49,tbl_netdebt[Fiscal_Year],tbl_netdebt[Net_debt_USD_B],0)</f>
        <v>0.8</v>
      </c>
      <c r="I49" s="3">
        <f>_xlfn.XLOOKUP(A49,tbl_fx_rates_data[Date],tbl_fx_rates_data[USD_ZAR])</f>
        <v>15.87</v>
      </c>
      <c r="J49" s="6">
        <f>H49*I49</f>
        <v>12.696</v>
      </c>
      <c r="K49" s="6">
        <f>G49-J49</f>
        <v>1968.1634526240002</v>
      </c>
      <c r="L49" s="6">
        <f>_xlfn.XLOOKUP(Table6[[#This Row],[Date]],tbl_naspers_price_data[Date],tbl_naspers_price_data[Market Cap (ZAR B)])</f>
        <v>714.25121000000001</v>
      </c>
      <c r="M49" s="18">
        <f>1-(L49/K49)</f>
        <v>0.63709761552184907</v>
      </c>
      <c r="N49" s="6">
        <f>K49-L49</f>
        <v>1253.9122426240001</v>
      </c>
    </row>
    <row r="50" spans="1:14">
      <c r="A50" s="5">
        <f>tbl_price_history!A50</f>
        <v>44561</v>
      </c>
      <c r="B50" s="14">
        <f>_xlfn.XLOOKUP(A50,tbl_tencent_market_data[Date],tbl_tencent_market_data[Market Cap (HKD B)])</f>
        <v>3713.5841399999999</v>
      </c>
      <c r="C50" s="1">
        <f>_xlfn.XLOOKUP(A50,tbl_fx_rates_data[Date],tbl_fx_rates_data[HKD_ZAR])</f>
        <v>2.0499999999999998</v>
      </c>
      <c r="D50" s="3">
        <f>YEAR(EDATE(A50,9))</f>
        <v>2022</v>
      </c>
      <c r="E50" s="6">
        <f>B50*C50</f>
        <v>7612.8474869999991</v>
      </c>
      <c r="F50" s="14">
        <f>_xlfn.XLOOKUP(D50,tbl_ownership[Fiscal_Year],tbl_ownership[Ownership_%])</f>
        <v>0.26</v>
      </c>
      <c r="G50" s="6">
        <f>E50*F50</f>
        <v>1979.3403466199998</v>
      </c>
      <c r="H50" s="3">
        <f>_xlfn.XLOOKUP(D50,tbl_netdebt[Fiscal_Year],tbl_netdebt[Net_debt_USD_B],0)</f>
        <v>0.8</v>
      </c>
      <c r="I50" s="3">
        <f>_xlfn.XLOOKUP(A50,tbl_fx_rates_data[Date],tbl_fx_rates_data[USD_ZAR])</f>
        <v>15.99</v>
      </c>
      <c r="J50" s="6">
        <f>H50*I50</f>
        <v>12.792000000000002</v>
      </c>
      <c r="K50" s="6">
        <f>G50-J50</f>
        <v>1966.5483466199998</v>
      </c>
      <c r="L50" s="6">
        <f>_xlfn.XLOOKUP(Table6[[#This Row],[Date]],tbl_naspers_price_data[Date],tbl_naspers_price_data[Market Cap (ZAR B)])</f>
        <v>718.24696000000006</v>
      </c>
      <c r="M50" s="18">
        <f>1-(L50/K50)</f>
        <v>0.63476770798211735</v>
      </c>
      <c r="N50" s="6">
        <f>K50-L50</f>
        <v>1248.3013866199999</v>
      </c>
    </row>
    <row r="51" spans="1:14">
      <c r="A51" s="5">
        <f>tbl_price_history!A51</f>
        <v>44592</v>
      </c>
      <c r="B51" s="14">
        <f>_xlfn.XLOOKUP(A51,tbl_tencent_market_data[Date],tbl_tencent_market_data[Market Cap (HKD B)])</f>
        <v>3946.6026000000002</v>
      </c>
      <c r="C51" s="1">
        <f>_xlfn.XLOOKUP(A51,tbl_fx_rates_data[Date],tbl_fx_rates_data[HKD_ZAR])</f>
        <v>1.97</v>
      </c>
      <c r="D51" s="3">
        <f>YEAR(EDATE(A51,9))</f>
        <v>2022</v>
      </c>
      <c r="E51" s="6">
        <f>B51*C51</f>
        <v>7774.8071220000002</v>
      </c>
      <c r="F51" s="14">
        <f>_xlfn.XLOOKUP(D51,tbl_ownership[Fiscal_Year],tbl_ownership[Ownership_%])</f>
        <v>0.26</v>
      </c>
      <c r="G51" s="6">
        <f>E51*F51</f>
        <v>2021.4498517200002</v>
      </c>
      <c r="H51" s="3">
        <f>_xlfn.XLOOKUP(D51,tbl_netdebt[Fiscal_Year],tbl_netdebt[Net_debt_USD_B],0)</f>
        <v>0.8</v>
      </c>
      <c r="I51" s="3">
        <f>_xlfn.XLOOKUP(A51,tbl_fx_rates_data[Date],tbl_fx_rates_data[USD_ZAR])</f>
        <v>15.38</v>
      </c>
      <c r="J51" s="6">
        <f>H51*I51</f>
        <v>12.304000000000002</v>
      </c>
      <c r="K51" s="6">
        <f>G51-J51</f>
        <v>2009.1458517200001</v>
      </c>
      <c r="L51" s="6">
        <f>_xlfn.XLOOKUP(Table6[[#This Row],[Date]],tbl_naspers_price_data[Date],tbl_naspers_price_data[Market Cap (ZAR B)])</f>
        <v>715.3845500000001</v>
      </c>
      <c r="M51" s="18">
        <f>1-(L51/K51)</f>
        <v>0.6439359793677647</v>
      </c>
      <c r="N51" s="6">
        <f>K51-L51</f>
        <v>1293.7613017200001</v>
      </c>
    </row>
    <row r="52" spans="1:14">
      <c r="A52" s="5">
        <f>tbl_price_history!A52</f>
        <v>44620</v>
      </c>
      <c r="B52" s="14">
        <f>_xlfn.XLOOKUP(A52,tbl_tencent_market_data[Date],tbl_tencent_market_data[Market Cap (HKD B)])</f>
        <v>3527.7868800000001</v>
      </c>
      <c r="C52" s="1">
        <f>_xlfn.XLOOKUP(A52,tbl_fx_rates_data[Date],tbl_fx_rates_data[HKD_ZAR])</f>
        <v>1.97</v>
      </c>
      <c r="D52" s="3">
        <f>YEAR(EDATE(A52,9))</f>
        <v>2022</v>
      </c>
      <c r="E52" s="6">
        <f>B52*C52</f>
        <v>6949.7401535999998</v>
      </c>
      <c r="F52" s="14">
        <f>_xlfn.XLOOKUP(D52,tbl_ownership[Fiscal_Year],tbl_ownership[Ownership_%])</f>
        <v>0.26</v>
      </c>
      <c r="G52" s="6">
        <f>E52*F52</f>
        <v>1806.932439936</v>
      </c>
      <c r="H52" s="3">
        <f>_xlfn.XLOOKUP(D52,tbl_netdebt[Fiscal_Year],tbl_netdebt[Net_debt_USD_B],0)</f>
        <v>0.8</v>
      </c>
      <c r="I52" s="3">
        <f>_xlfn.XLOOKUP(A52,tbl_fx_rates_data[Date],tbl_fx_rates_data[USD_ZAR])</f>
        <v>15.36</v>
      </c>
      <c r="J52" s="6">
        <f>H52*I52</f>
        <v>12.288</v>
      </c>
      <c r="K52" s="6">
        <f>G52-J52</f>
        <v>1794.644439936</v>
      </c>
      <c r="L52" s="6">
        <f>_xlfn.XLOOKUP(Table6[[#This Row],[Date]],tbl_naspers_price_data[Date],tbl_naspers_price_data[Market Cap (ZAR B)])</f>
        <v>560.33492000000001</v>
      </c>
      <c r="M52" s="18">
        <f>1-(L52/K52)</f>
        <v>0.68777385228464394</v>
      </c>
      <c r="N52" s="6">
        <f>K52-L52</f>
        <v>1234.309519936</v>
      </c>
    </row>
    <row r="53" spans="1:14">
      <c r="A53" s="5">
        <f>tbl_price_history!A53</f>
        <v>44651</v>
      </c>
      <c r="B53" s="14">
        <f>_xlfn.XLOOKUP(A53,tbl_tencent_market_data[Date],tbl_tencent_market_data[Market Cap (HKD B)])</f>
        <v>3134.2163399999995</v>
      </c>
      <c r="C53" s="1">
        <f>_xlfn.XLOOKUP(A53,tbl_fx_rates_data[Date],tbl_fx_rates_data[HKD_ZAR])</f>
        <v>1.87</v>
      </c>
      <c r="D53" s="3">
        <f>YEAR(EDATE(A53,9))</f>
        <v>2022</v>
      </c>
      <c r="E53" s="6">
        <f>B53*C53</f>
        <v>5860.9845557999997</v>
      </c>
      <c r="F53" s="14">
        <f>_xlfn.XLOOKUP(D53,tbl_ownership[Fiscal_Year],tbl_ownership[Ownership_%])</f>
        <v>0.26</v>
      </c>
      <c r="G53" s="6">
        <f>E53*F53</f>
        <v>1523.8559845079999</v>
      </c>
      <c r="H53" s="3">
        <f>_xlfn.XLOOKUP(D53,tbl_netdebt[Fiscal_Year],tbl_netdebt[Net_debt_USD_B],0)</f>
        <v>0.8</v>
      </c>
      <c r="I53" s="3">
        <f>_xlfn.XLOOKUP(A53,tbl_fx_rates_data[Date],tbl_fx_rates_data[USD_ZAR])</f>
        <v>14.6</v>
      </c>
      <c r="J53" s="6">
        <f>H53*I53</f>
        <v>11.68</v>
      </c>
      <c r="K53" s="6">
        <f>G53-J53</f>
        <v>1512.1759845079998</v>
      </c>
      <c r="L53" s="6">
        <f>_xlfn.XLOOKUP(Table6[[#This Row],[Date]],tbl_naspers_price_data[Date],tbl_naspers_price_data[Market Cap (ZAR B)])</f>
        <v>483.52933999999999</v>
      </c>
      <c r="M53" s="18">
        <f>1-(L53/K53)</f>
        <v>0.68024268011548883</v>
      </c>
      <c r="N53" s="6">
        <f>K53-L53</f>
        <v>1028.6466445079998</v>
      </c>
    </row>
    <row r="54" spans="1:14">
      <c r="A54" s="5">
        <f>tbl_price_history!A54</f>
        <v>44681</v>
      </c>
      <c r="B54" s="14">
        <f>_xlfn.XLOOKUP(A54,tbl_tencent_market_data[Date],tbl_tencent_market_data[Market Cap (HKD B)])</f>
        <v>3161.0052899999996</v>
      </c>
      <c r="C54" s="1">
        <f>_xlfn.XLOOKUP(A54,tbl_fx_rates_data[Date],tbl_fx_rates_data[HKD_ZAR])</f>
        <v>2.0099999999999998</v>
      </c>
      <c r="D54" s="3">
        <f>YEAR(EDATE(A54,9))</f>
        <v>2023</v>
      </c>
      <c r="E54" s="6">
        <f>B54*C54</f>
        <v>6353.6206328999988</v>
      </c>
      <c r="F54" s="14">
        <f>_xlfn.XLOOKUP(D54,tbl_ownership[Fiscal_Year],tbl_ownership[Ownership_%])</f>
        <v>0.26</v>
      </c>
      <c r="G54" s="6">
        <f>E54*F54</f>
        <v>1651.9413645539998</v>
      </c>
      <c r="H54" s="3">
        <f>_xlfn.XLOOKUP(D54,tbl_netdebt[Fiscal_Year],tbl_netdebt[Net_debt_USD_B],0)</f>
        <v>0.4</v>
      </c>
      <c r="I54" s="3">
        <f>_xlfn.XLOOKUP(A54,tbl_fx_rates_data[Date],tbl_fx_rates_data[USD_ZAR])</f>
        <v>15.81</v>
      </c>
      <c r="J54" s="6">
        <f>H54*I54</f>
        <v>6.3240000000000007</v>
      </c>
      <c r="K54" s="6">
        <f>G54-J54</f>
        <v>1645.6173645539998</v>
      </c>
      <c r="L54" s="6">
        <f>_xlfn.XLOOKUP(Table6[[#This Row],[Date]],tbl_naspers_price_data[Date],tbl_naspers_price_data[Market Cap (ZAR B)])</f>
        <v>335.01342</v>
      </c>
      <c r="M54" s="18">
        <f>1-(L54/K54)</f>
        <v>0.79642082830670891</v>
      </c>
      <c r="N54" s="6">
        <f>K54-L54</f>
        <v>1310.6039445539998</v>
      </c>
    </row>
    <row r="55" spans="1:14">
      <c r="A55" s="5">
        <f>tbl_price_history!A55</f>
        <v>44712</v>
      </c>
      <c r="B55" s="14">
        <f>_xlfn.XLOOKUP(A55,tbl_tencent_market_data[Date],tbl_tencent_market_data[Market Cap (HKD B)])</f>
        <v>3035.3242499999997</v>
      </c>
      <c r="C55" s="1">
        <f>_xlfn.XLOOKUP(A55,tbl_fx_rates_data[Date],tbl_fx_rates_data[HKD_ZAR])</f>
        <v>1.99</v>
      </c>
      <c r="D55" s="3">
        <f>YEAR(EDATE(A55,9))</f>
        <v>2023</v>
      </c>
      <c r="E55" s="6">
        <f>B55*C55</f>
        <v>6040.295257499999</v>
      </c>
      <c r="F55" s="14">
        <f>_xlfn.XLOOKUP(D55,tbl_ownership[Fiscal_Year],tbl_ownership[Ownership_%])</f>
        <v>0.26</v>
      </c>
      <c r="G55" s="6">
        <f>E55*F55</f>
        <v>1570.4767669499997</v>
      </c>
      <c r="H55" s="3">
        <f>_xlfn.XLOOKUP(D55,tbl_netdebt[Fiscal_Year],tbl_netdebt[Net_debt_USD_B],0)</f>
        <v>0.4</v>
      </c>
      <c r="I55" s="3">
        <f>_xlfn.XLOOKUP(A55,tbl_fx_rates_data[Date],tbl_fx_rates_data[USD_ZAR])</f>
        <v>15.63</v>
      </c>
      <c r="J55" s="6">
        <f>H55*I55</f>
        <v>6.2520000000000007</v>
      </c>
      <c r="K55" s="6">
        <f>G55-J55</f>
        <v>1564.2247669499998</v>
      </c>
      <c r="L55" s="6">
        <f>_xlfn.XLOOKUP(Table6[[#This Row],[Date]],tbl_naspers_price_data[Date],tbl_naspers_price_data[Market Cap (ZAR B)])</f>
        <v>357.23928000000001</v>
      </c>
      <c r="M55" s="18">
        <f>1-(L55/K55)</f>
        <v>0.77161895940532754</v>
      </c>
      <c r="N55" s="6">
        <f>K55-L55</f>
        <v>1206.9854869499998</v>
      </c>
    </row>
    <row r="56" spans="1:14">
      <c r="A56" s="5">
        <f>tbl_price_history!A56</f>
        <v>44742</v>
      </c>
      <c r="B56" s="14">
        <f>_xlfn.XLOOKUP(A56,tbl_tencent_market_data[Date],tbl_tencent_market_data[Market Cap (HKD B)])</f>
        <v>2983.0176900000001</v>
      </c>
      <c r="C56" s="1">
        <f>_xlfn.XLOOKUP(A56,tbl_fx_rates_data[Date],tbl_fx_rates_data[HKD_ZAR])</f>
        <v>2.0699999999999998</v>
      </c>
      <c r="D56" s="3">
        <f>YEAR(EDATE(A56,9))</f>
        <v>2023</v>
      </c>
      <c r="E56" s="6">
        <f>B56*C56</f>
        <v>6174.8466183</v>
      </c>
      <c r="F56" s="14">
        <f>_xlfn.XLOOKUP(D56,tbl_ownership[Fiscal_Year],tbl_ownership[Ownership_%])</f>
        <v>0.26</v>
      </c>
      <c r="G56" s="6">
        <f>E56*F56</f>
        <v>1605.4601207580001</v>
      </c>
      <c r="H56" s="3">
        <f>_xlfn.XLOOKUP(D56,tbl_netdebt[Fiscal_Year],tbl_netdebt[Net_debt_USD_B],0)</f>
        <v>0.4</v>
      </c>
      <c r="I56" s="3">
        <f>_xlfn.XLOOKUP(A56,tbl_fx_rates_data[Date],tbl_fx_rates_data[USD_ZAR])</f>
        <v>16.27</v>
      </c>
      <c r="J56" s="6">
        <f>H56*I56</f>
        <v>6.508</v>
      </c>
      <c r="K56" s="6">
        <f>G56-J56</f>
        <v>1598.9521207580001</v>
      </c>
      <c r="L56" s="6">
        <f>_xlfn.XLOOKUP(Table6[[#This Row],[Date]],tbl_naspers_price_data[Date],tbl_naspers_price_data[Market Cap (ZAR B)])</f>
        <v>493.36616000000004</v>
      </c>
      <c r="M56" s="18">
        <f>1-(L56/K56)</f>
        <v>0.69144406915316847</v>
      </c>
      <c r="N56" s="6">
        <f>K56-L56</f>
        <v>1105.5859607580001</v>
      </c>
    </row>
    <row r="57" spans="1:14">
      <c r="A57" s="5">
        <f>tbl_price_history!A57</f>
        <v>44773</v>
      </c>
      <c r="B57" s="14">
        <f>_xlfn.XLOOKUP(A57,tbl_tencent_market_data[Date],tbl_tencent_market_data[Market Cap (HKD B)])</f>
        <v>2582.3639699999999</v>
      </c>
      <c r="C57" s="1">
        <f>_xlfn.XLOOKUP(A57,tbl_fx_rates_data[Date],tbl_fx_rates_data[HKD_ZAR])</f>
        <v>2.12</v>
      </c>
      <c r="D57" s="3">
        <f>YEAR(EDATE(A57,9))</f>
        <v>2023</v>
      </c>
      <c r="E57" s="6">
        <f>B57*C57</f>
        <v>5474.6116164000005</v>
      </c>
      <c r="F57" s="14">
        <f>_xlfn.XLOOKUP(D57,tbl_ownership[Fiscal_Year],tbl_ownership[Ownership_%])</f>
        <v>0.26</v>
      </c>
      <c r="G57" s="6">
        <f>E57*F57</f>
        <v>1423.3990202640002</v>
      </c>
      <c r="H57" s="3">
        <f>_xlfn.XLOOKUP(D57,tbl_netdebt[Fiscal_Year],tbl_netdebt[Net_debt_USD_B],0)</f>
        <v>0.4</v>
      </c>
      <c r="I57" s="3">
        <f>_xlfn.XLOOKUP(A57,tbl_fx_rates_data[Date],tbl_fx_rates_data[USD_ZAR])</f>
        <v>16.64</v>
      </c>
      <c r="J57" s="6">
        <f>H57*I57</f>
        <v>6.6560000000000006</v>
      </c>
      <c r="K57" s="6">
        <f>G57-J57</f>
        <v>1416.7430202640003</v>
      </c>
      <c r="L57" s="6">
        <f>_xlfn.XLOOKUP(Table6[[#This Row],[Date]],tbl_naspers_price_data[Date],tbl_naspers_price_data[Market Cap (ZAR B)])</f>
        <v>491.01124000000004</v>
      </c>
      <c r="M57" s="18">
        <f>1-(L57/K57)</f>
        <v>0.65342250995631979</v>
      </c>
      <c r="N57" s="6">
        <f>K57-L57</f>
        <v>925.73178026400024</v>
      </c>
    </row>
    <row r="58" spans="1:14">
      <c r="A58" s="5">
        <f>tbl_price_history!A58</f>
        <v>44804</v>
      </c>
      <c r="B58" s="14">
        <f>_xlfn.XLOOKUP(A58,tbl_tencent_market_data[Date],tbl_tencent_market_data[Market Cap (HKD B)])</f>
        <v>2754.0856799999997</v>
      </c>
      <c r="C58" s="1">
        <f>_xlfn.XLOOKUP(A58,tbl_fx_rates_data[Date],tbl_fx_rates_data[HKD_ZAR])</f>
        <v>2.1800000000000002</v>
      </c>
      <c r="D58" s="3">
        <f>YEAR(EDATE(A58,9))</f>
        <v>2023</v>
      </c>
      <c r="E58" s="6">
        <f>B58*C58</f>
        <v>6003.9067823999994</v>
      </c>
      <c r="F58" s="14">
        <f>_xlfn.XLOOKUP(D58,tbl_ownership[Fiscal_Year],tbl_ownership[Ownership_%])</f>
        <v>0.26</v>
      </c>
      <c r="G58" s="6">
        <f>E58*F58</f>
        <v>1561.0157634239999</v>
      </c>
      <c r="H58" s="3">
        <f>_xlfn.XLOOKUP(D58,tbl_netdebt[Fiscal_Year],tbl_netdebt[Net_debt_USD_B],0)</f>
        <v>0.4</v>
      </c>
      <c r="I58" s="3">
        <f>_xlfn.XLOOKUP(A58,tbl_fx_rates_data[Date],tbl_fx_rates_data[USD_ZAR])</f>
        <v>17.11</v>
      </c>
      <c r="J58" s="6">
        <f>H58*I58</f>
        <v>6.8440000000000003</v>
      </c>
      <c r="K58" s="6">
        <f>G58-J58</f>
        <v>1554.1717634239999</v>
      </c>
      <c r="L58" s="6">
        <f>_xlfn.XLOOKUP(Table6[[#This Row],[Date]],tbl_naspers_price_data[Date],tbl_naspers_price_data[Market Cap (ZAR B)])</f>
        <v>505.46377999999999</v>
      </c>
      <c r="M58" s="18">
        <f>1-(L58/K58)</f>
        <v>0.67476967996998516</v>
      </c>
      <c r="N58" s="6">
        <f>K58-L58</f>
        <v>1048.7079834239998</v>
      </c>
    </row>
    <row r="59" spans="1:14">
      <c r="A59" s="5">
        <f>tbl_price_history!A59</f>
        <v>44834</v>
      </c>
      <c r="B59" s="14">
        <f>_xlfn.XLOOKUP(A59,tbl_tencent_market_data[Date],tbl_tencent_market_data[Market Cap (HKD B)])</f>
        <v>2242.3713299999999</v>
      </c>
      <c r="C59" s="1">
        <f>_xlfn.XLOOKUP(A59,tbl_fx_rates_data[Date],tbl_fx_rates_data[HKD_ZAR])</f>
        <v>2.31</v>
      </c>
      <c r="D59" s="3">
        <f>YEAR(EDATE(A59,9))</f>
        <v>2023</v>
      </c>
      <c r="E59" s="6">
        <f>B59*C59</f>
        <v>5179.8777723000003</v>
      </c>
      <c r="F59" s="14">
        <f>_xlfn.XLOOKUP(D59,tbl_ownership[Fiscal_Year],tbl_ownership[Ownership_%])</f>
        <v>0.26</v>
      </c>
      <c r="G59" s="6">
        <f>E59*F59</f>
        <v>1346.7682207980001</v>
      </c>
      <c r="H59" s="3">
        <f>_xlfn.XLOOKUP(D59,tbl_netdebt[Fiscal_Year],tbl_netdebt[Net_debt_USD_B],0)</f>
        <v>0.4</v>
      </c>
      <c r="I59" s="3">
        <f>_xlfn.XLOOKUP(A59,tbl_fx_rates_data[Date],tbl_fx_rates_data[USD_ZAR])</f>
        <v>18.149999999999999</v>
      </c>
      <c r="J59" s="6">
        <f>H59*I59</f>
        <v>7.26</v>
      </c>
      <c r="K59" s="6">
        <f>G59-J59</f>
        <v>1339.5082207980001</v>
      </c>
      <c r="L59" s="6">
        <f>_xlfn.XLOOKUP(Table6[[#This Row],[Date]],tbl_naspers_price_data[Date],tbl_naspers_price_data[Market Cap (ZAR B)])</f>
        <v>471.60920000000004</v>
      </c>
      <c r="M59" s="18">
        <f>1-(L59/K59)</f>
        <v>0.64792362400057302</v>
      </c>
      <c r="N59" s="6">
        <f>K59-L59</f>
        <v>867.89902079800004</v>
      </c>
    </row>
    <row r="60" spans="1:14">
      <c r="A60" s="5">
        <f>tbl_price_history!A60</f>
        <v>44865</v>
      </c>
      <c r="B60" s="14">
        <f>_xlfn.XLOOKUP(A60,tbl_tencent_market_data[Date],tbl_tencent_market_data[Market Cap (HKD B)])</f>
        <v>1730.5661699999998</v>
      </c>
      <c r="C60" s="1">
        <f>_xlfn.XLOOKUP(A60,tbl_fx_rates_data[Date],tbl_fx_rates_data[HKD_ZAR])</f>
        <v>2.33</v>
      </c>
      <c r="D60" s="3">
        <f>YEAR(EDATE(A60,9))</f>
        <v>2023</v>
      </c>
      <c r="E60" s="6">
        <f>B60*C60</f>
        <v>4032.2191760999999</v>
      </c>
      <c r="F60" s="14">
        <f>_xlfn.XLOOKUP(D60,tbl_ownership[Fiscal_Year],tbl_ownership[Ownership_%])</f>
        <v>0.26</v>
      </c>
      <c r="G60" s="6">
        <f>E60*F60</f>
        <v>1048.376985786</v>
      </c>
      <c r="H60" s="3">
        <f>_xlfn.XLOOKUP(D60,tbl_netdebt[Fiscal_Year],tbl_netdebt[Net_debt_USD_B],0)</f>
        <v>0.4</v>
      </c>
      <c r="I60" s="3">
        <f>_xlfn.XLOOKUP(A60,tbl_fx_rates_data[Date],tbl_fx_rates_data[USD_ZAR])</f>
        <v>17.170000000000002</v>
      </c>
      <c r="J60" s="6">
        <f>H60*I60</f>
        <v>6.8680000000000012</v>
      </c>
      <c r="K60" s="6">
        <f>G60-J60</f>
        <v>1041.508985786</v>
      </c>
      <c r="L60" s="6">
        <f>_xlfn.XLOOKUP(Table6[[#This Row],[Date]],tbl_naspers_price_data[Date],tbl_naspers_price_data[Market Cap (ZAR B)])</f>
        <v>395.92874000000006</v>
      </c>
      <c r="M60" s="18">
        <f>1-(L60/K60)</f>
        <v>0.61985086503963016</v>
      </c>
      <c r="N60" s="6">
        <f>K60-L60</f>
        <v>645.58024578599998</v>
      </c>
    </row>
    <row r="61" spans="1:14">
      <c r="A61" s="5">
        <f>tbl_price_history!A61</f>
        <v>44895</v>
      </c>
      <c r="B61" s="14">
        <f>_xlfn.XLOOKUP(A61,tbl_tencent_market_data[Date],tbl_tencent_market_data[Market Cap (HKD B)])</f>
        <v>2417.4530099999997</v>
      </c>
      <c r="C61" s="1">
        <f>_xlfn.XLOOKUP(A61,tbl_fx_rates_data[Date],tbl_fx_rates_data[HKD_ZAR])</f>
        <v>2.2000000000000002</v>
      </c>
      <c r="D61" s="3">
        <f>YEAR(EDATE(A61,9))</f>
        <v>2023</v>
      </c>
      <c r="E61" s="6">
        <f>B61*C61</f>
        <v>5318.3966220000002</v>
      </c>
      <c r="F61" s="14">
        <f>_xlfn.XLOOKUP(D61,tbl_ownership[Fiscal_Year],tbl_ownership[Ownership_%])</f>
        <v>0.26</v>
      </c>
      <c r="G61" s="6">
        <f>E61*F61</f>
        <v>1382.7831217200001</v>
      </c>
      <c r="H61" s="3">
        <f>_xlfn.XLOOKUP(D61,tbl_netdebt[Fiscal_Year],tbl_netdebt[Net_debt_USD_B],0)</f>
        <v>0.4</v>
      </c>
      <c r="I61" s="3">
        <f>_xlfn.XLOOKUP(A61,tbl_fx_rates_data[Date],tbl_fx_rates_data[USD_ZAR])</f>
        <v>17</v>
      </c>
      <c r="J61" s="6">
        <f>H61*I61</f>
        <v>6.8000000000000007</v>
      </c>
      <c r="K61" s="6">
        <f>G61-J61</f>
        <v>1375.9831217200001</v>
      </c>
      <c r="L61" s="6">
        <f>_xlfn.XLOOKUP(Table6[[#This Row],[Date]],tbl_naspers_price_data[Date],tbl_naspers_price_data[Market Cap (ZAR B)])</f>
        <v>549.30071999999996</v>
      </c>
      <c r="M61" s="18">
        <f>1-(L61/K61)</f>
        <v>0.60079399861143234</v>
      </c>
      <c r="N61" s="6">
        <f>K61-L61</f>
        <v>826.68240172000014</v>
      </c>
    </row>
    <row r="62" spans="1:14">
      <c r="A62" s="5">
        <f>tbl_price_history!A62</f>
        <v>44926</v>
      </c>
      <c r="B62" s="14">
        <f>_xlfn.XLOOKUP(A62,tbl_tencent_market_data[Date],tbl_tencent_market_data[Market Cap (HKD B)])</f>
        <v>2811.3867899999996</v>
      </c>
      <c r="C62" s="1">
        <f>_xlfn.XLOOKUP(A62,tbl_fx_rates_data[Date],tbl_fx_rates_data[HKD_ZAR])</f>
        <v>2.1800000000000002</v>
      </c>
      <c r="D62" s="3">
        <f>YEAR(EDATE(A62,9))</f>
        <v>2023</v>
      </c>
      <c r="E62" s="6">
        <f>B62*C62</f>
        <v>6128.8232021999993</v>
      </c>
      <c r="F62" s="14">
        <f>_xlfn.XLOOKUP(D62,tbl_ownership[Fiscal_Year],tbl_ownership[Ownership_%])</f>
        <v>0.26</v>
      </c>
      <c r="G62" s="6">
        <f>E62*F62</f>
        <v>1593.4940325719999</v>
      </c>
      <c r="H62" s="3">
        <f>_xlfn.XLOOKUP(D62,tbl_netdebt[Fiscal_Year],tbl_netdebt[Net_debt_USD_B],0)</f>
        <v>0.4</v>
      </c>
      <c r="I62" s="3">
        <f>_xlfn.XLOOKUP(A62,tbl_fx_rates_data[Date],tbl_fx_rates_data[USD_ZAR])</f>
        <v>17</v>
      </c>
      <c r="J62" s="6">
        <f>H62*I62</f>
        <v>6.8000000000000007</v>
      </c>
      <c r="K62" s="6">
        <f>G62-J62</f>
        <v>1586.694032572</v>
      </c>
      <c r="L62" s="6">
        <f>_xlfn.XLOOKUP(Table6[[#This Row],[Date]],tbl_naspers_price_data[Date],tbl_naspers_price_data[Market Cap (ZAR B)])</f>
        <v>588.53201999999999</v>
      </c>
      <c r="M62" s="18">
        <f>1-(L62/K62)</f>
        <v>0.62908285534672292</v>
      </c>
      <c r="N62" s="6">
        <f>K62-L62</f>
        <v>998.16201257199998</v>
      </c>
    </row>
    <row r="63" spans="1:14">
      <c r="A63" s="5">
        <f>tbl_price_history!A63</f>
        <v>44957</v>
      </c>
      <c r="B63" s="14">
        <f>_xlfn.XLOOKUP(A63,tbl_tencent_market_data[Date],tbl_tencent_market_data[Market Cap (HKD B)])</f>
        <v>3387.12219</v>
      </c>
      <c r="C63" s="1">
        <f>_xlfn.XLOOKUP(A63,tbl_fx_rates_data[Date],tbl_fx_rates_data[HKD_ZAR])</f>
        <v>2.2200000000000002</v>
      </c>
      <c r="D63" s="3">
        <f>YEAR(EDATE(A63,9))</f>
        <v>2023</v>
      </c>
      <c r="E63" s="6">
        <f>B63*C63</f>
        <v>7519.4112618000008</v>
      </c>
      <c r="F63" s="14">
        <f>_xlfn.XLOOKUP(D63,tbl_ownership[Fiscal_Year],tbl_ownership[Ownership_%])</f>
        <v>0.26</v>
      </c>
      <c r="G63" s="6">
        <f>E63*F63</f>
        <v>1955.0469280680002</v>
      </c>
      <c r="H63" s="3">
        <f>_xlfn.XLOOKUP(D63,tbl_netdebt[Fiscal_Year],tbl_netdebt[Net_debt_USD_B],0)</f>
        <v>0.4</v>
      </c>
      <c r="I63" s="3">
        <f>_xlfn.XLOOKUP(A63,tbl_fx_rates_data[Date],tbl_fx_rates_data[USD_ZAR])</f>
        <v>17.399999999999999</v>
      </c>
      <c r="J63" s="6">
        <f>H63*I63</f>
        <v>6.96</v>
      </c>
      <c r="K63" s="6">
        <f>G63-J63</f>
        <v>1948.0869280680001</v>
      </c>
      <c r="L63" s="6">
        <f>_xlfn.XLOOKUP(Table6[[#This Row],[Date]],tbl_naspers_price_data[Date],tbl_naspers_price_data[Market Cap (ZAR B)])</f>
        <v>697.34807999999998</v>
      </c>
      <c r="M63" s="18">
        <f>1-(L63/K63)</f>
        <v>0.64203441337620926</v>
      </c>
      <c r="N63" s="6">
        <f>K63-L63</f>
        <v>1250.7388480680002</v>
      </c>
    </row>
    <row r="64" spans="1:14">
      <c r="A64" s="5">
        <f>tbl_price_history!A64</f>
        <v>44985</v>
      </c>
      <c r="B64" s="14">
        <f>_xlfn.XLOOKUP(A64,tbl_tencent_market_data[Date],tbl_tencent_market_data[Market Cap (HKD B)])</f>
        <v>3045.0409199999999</v>
      </c>
      <c r="C64" s="1">
        <f>_xlfn.XLOOKUP(A64,tbl_fx_rates_data[Date],tbl_fx_rates_data[HKD_ZAR])</f>
        <v>2.34</v>
      </c>
      <c r="D64" s="3">
        <f>YEAR(EDATE(A64,9))</f>
        <v>2023</v>
      </c>
      <c r="E64" s="6">
        <f>B64*C64</f>
        <v>7125.3957527999992</v>
      </c>
      <c r="F64" s="14">
        <f>_xlfn.XLOOKUP(D64,tbl_ownership[Fiscal_Year],tbl_ownership[Ownership_%])</f>
        <v>0.26</v>
      </c>
      <c r="G64" s="6">
        <f>E64*F64</f>
        <v>1852.6028957279998</v>
      </c>
      <c r="H64" s="3">
        <f>_xlfn.XLOOKUP(D64,tbl_netdebt[Fiscal_Year],tbl_netdebt[Net_debt_USD_B],0)</f>
        <v>0.4</v>
      </c>
      <c r="I64" s="3">
        <f>_xlfn.XLOOKUP(A64,tbl_fx_rates_data[Date],tbl_fx_rates_data[USD_ZAR])</f>
        <v>18.350000000000001</v>
      </c>
      <c r="J64" s="6">
        <f>H64*I64</f>
        <v>7.3400000000000007</v>
      </c>
      <c r="K64" s="6">
        <f>G64-J64</f>
        <v>1845.2628957279999</v>
      </c>
      <c r="L64" s="6">
        <f>_xlfn.XLOOKUP(Table6[[#This Row],[Date]],tbl_naspers_price_data[Date],tbl_naspers_price_data[Market Cap (ZAR B)])</f>
        <v>678.69628</v>
      </c>
      <c r="M64" s="18">
        <f>1-(L64/K64)</f>
        <v>0.63219534648896825</v>
      </c>
      <c r="N64" s="6">
        <f>K64-L64</f>
        <v>1166.5666157279998</v>
      </c>
    </row>
    <row r="65" spans="1:14">
      <c r="A65" s="5">
        <f>tbl_price_history!A65</f>
        <v>45016</v>
      </c>
      <c r="B65" s="14">
        <f>_xlfn.XLOOKUP(A65,tbl_tencent_market_data[Date],tbl_tencent_market_data[Market Cap (HKD B)])</f>
        <v>3419.0873099999999</v>
      </c>
      <c r="C65" s="1">
        <f>_xlfn.XLOOKUP(A65,tbl_fx_rates_data[Date],tbl_fx_rates_data[HKD_ZAR])</f>
        <v>2.27</v>
      </c>
      <c r="D65" s="3">
        <f>YEAR(EDATE(A65,9))</f>
        <v>2023</v>
      </c>
      <c r="E65" s="6">
        <f>B65*C65</f>
        <v>7761.3281937000002</v>
      </c>
      <c r="F65" s="14">
        <f>_xlfn.XLOOKUP(D65,tbl_ownership[Fiscal_Year],tbl_ownership[Ownership_%])</f>
        <v>0.26</v>
      </c>
      <c r="G65" s="6">
        <f>E65*F65</f>
        <v>2017.945330362</v>
      </c>
      <c r="H65" s="3">
        <f>_xlfn.XLOOKUP(D65,tbl_netdebt[Fiscal_Year],tbl_netdebt[Net_debt_USD_B],0)</f>
        <v>0.4</v>
      </c>
      <c r="I65" s="3">
        <f>_xlfn.XLOOKUP(A65,tbl_fx_rates_data[Date],tbl_fx_rates_data[USD_ZAR])</f>
        <v>17.78</v>
      </c>
      <c r="J65" s="6">
        <f>H65*I65</f>
        <v>7.112000000000001</v>
      </c>
      <c r="K65" s="6">
        <f>G65-J65</f>
        <v>2010.833330362</v>
      </c>
      <c r="L65" s="6">
        <f>_xlfn.XLOOKUP(Table6[[#This Row],[Date]],tbl_naspers_price_data[Date],tbl_naspers_price_data[Market Cap (ZAR B)])</f>
        <v>686.17784000000006</v>
      </c>
      <c r="M65" s="18">
        <f>1-(L65/K65)</f>
        <v>0.65875946572037825</v>
      </c>
      <c r="N65" s="6">
        <f>K65-L65</f>
        <v>1324.6554903619999</v>
      </c>
    </row>
    <row r="66" spans="1:14">
      <c r="A66" s="5">
        <f>tbl_price_history!A66</f>
        <v>45046</v>
      </c>
      <c r="B66" s="14">
        <f>_xlfn.XLOOKUP(A66,tbl_tencent_market_data[Date],tbl_tencent_market_data[Market Cap (HKD B)])</f>
        <v>3052.2149100000001</v>
      </c>
      <c r="C66" s="1">
        <f>_xlfn.XLOOKUP(A66,tbl_fx_rates_data[Date],tbl_fx_rates_data[HKD_ZAR])</f>
        <v>2.33</v>
      </c>
      <c r="D66" s="3">
        <f>YEAR(EDATE(A66,9))</f>
        <v>2024</v>
      </c>
      <c r="E66" s="6">
        <f>B66*C66</f>
        <v>7111.6607403000007</v>
      </c>
      <c r="F66" s="14">
        <f>_xlfn.XLOOKUP(D66,tbl_ownership[Fiscal_Year],tbl_ownership[Ownership_%])</f>
        <v>0.24</v>
      </c>
      <c r="G66" s="6">
        <f>E66*F66</f>
        <v>1706.7985776720002</v>
      </c>
      <c r="H66" s="3">
        <f>_xlfn.XLOOKUP(D66,tbl_netdebt[Fiscal_Year],tbl_netdebt[Net_debt_USD_B],0)</f>
        <v>0.7</v>
      </c>
      <c r="I66" s="3">
        <f>_xlfn.XLOOKUP(A66,tbl_fx_rates_data[Date],tbl_fx_rates_data[USD_ZAR])</f>
        <v>18.27</v>
      </c>
      <c r="J66" s="6">
        <f>H66*I66</f>
        <v>12.789</v>
      </c>
      <c r="K66" s="6">
        <f>G66-J66</f>
        <v>1694.0095776720002</v>
      </c>
      <c r="L66" s="6">
        <f>_xlfn.XLOOKUP(Table6[[#This Row],[Date]],tbl_naspers_price_data[Date],tbl_naspers_price_data[Market Cap (ZAR B)])</f>
        <v>608.47460999999998</v>
      </c>
      <c r="M66" s="18">
        <f>1-(L66/K66)</f>
        <v>0.64080804617633935</v>
      </c>
      <c r="N66" s="6">
        <f>K66-L66</f>
        <v>1085.5349676720002</v>
      </c>
    </row>
    <row r="67" spans="1:14">
      <c r="A67" s="5">
        <f>tbl_price_history!A67</f>
        <v>45077</v>
      </c>
      <c r="B67" s="14">
        <f>_xlfn.XLOOKUP(A67,tbl_tencent_market_data[Date],tbl_tencent_market_data[Market Cap (HKD B)])</f>
        <v>2752.6327200000001</v>
      </c>
      <c r="C67" s="1">
        <f>_xlfn.XLOOKUP(A67,tbl_fx_rates_data[Date],tbl_fx_rates_data[HKD_ZAR])</f>
        <v>2.52</v>
      </c>
      <c r="D67" s="3">
        <f>YEAR(EDATE(A67,9))</f>
        <v>2024</v>
      </c>
      <c r="E67" s="6">
        <f>B67*C67</f>
        <v>6936.6344544000003</v>
      </c>
      <c r="F67" s="14">
        <f>_xlfn.XLOOKUP(D67,tbl_ownership[Fiscal_Year],tbl_ownership[Ownership_%])</f>
        <v>0.24</v>
      </c>
      <c r="G67" s="6">
        <f>E67*F67</f>
        <v>1664.7922690560001</v>
      </c>
      <c r="H67" s="3">
        <f>_xlfn.XLOOKUP(D67,tbl_netdebt[Fiscal_Year],tbl_netdebt[Net_debt_USD_B],0)</f>
        <v>0.7</v>
      </c>
      <c r="I67" s="3">
        <f>_xlfn.XLOOKUP(A67,tbl_fx_rates_data[Date],tbl_fx_rates_data[USD_ZAR])</f>
        <v>19.72</v>
      </c>
      <c r="J67" s="6">
        <f>H67*I67</f>
        <v>13.803999999999998</v>
      </c>
      <c r="K67" s="6">
        <f>G67-J67</f>
        <v>1650.988269056</v>
      </c>
      <c r="L67" s="6">
        <f>_xlfn.XLOOKUP(Table6[[#This Row],[Date]],tbl_naspers_price_data[Date],tbl_naspers_price_data[Market Cap (ZAR B)])</f>
        <v>555.42422999999997</v>
      </c>
      <c r="M67" s="18">
        <f>1-(L67/K67)</f>
        <v>0.66358075317059662</v>
      </c>
      <c r="N67" s="6">
        <f>K67-L67</f>
        <v>1095.5640390560002</v>
      </c>
    </row>
    <row r="68" spans="1:14">
      <c r="A68" s="5">
        <f>tbl_price_history!A68</f>
        <v>45107</v>
      </c>
      <c r="B68" s="14">
        <f>_xlfn.XLOOKUP(A68,tbl_tencent_market_data[Date],tbl_tencent_market_data[Market Cap (HKD B)])</f>
        <v>2959.6795200000001</v>
      </c>
      <c r="C68" s="1">
        <f>_xlfn.XLOOKUP(A68,tbl_fx_rates_data[Date],tbl_fx_rates_data[HKD_ZAR])</f>
        <v>2.4</v>
      </c>
      <c r="D68" s="3">
        <f>YEAR(EDATE(A68,9))</f>
        <v>2024</v>
      </c>
      <c r="E68" s="6">
        <f>B68*C68</f>
        <v>7103.2308480000002</v>
      </c>
      <c r="F68" s="14">
        <f>_xlfn.XLOOKUP(D68,tbl_ownership[Fiscal_Year],tbl_ownership[Ownership_%])</f>
        <v>0.24</v>
      </c>
      <c r="G68" s="6">
        <f>E68*F68</f>
        <v>1704.7754035200001</v>
      </c>
      <c r="H68" s="3">
        <f>_xlfn.XLOOKUP(D68,tbl_netdebt[Fiscal_Year],tbl_netdebt[Net_debt_USD_B],0)</f>
        <v>0.7</v>
      </c>
      <c r="I68" s="3">
        <f>_xlfn.XLOOKUP(A68,tbl_fx_rates_data[Date],tbl_fx_rates_data[USD_ZAR])</f>
        <v>18.829999999999998</v>
      </c>
      <c r="J68" s="6">
        <f>H68*I68</f>
        <v>13.180999999999997</v>
      </c>
      <c r="K68" s="6">
        <f>G68-J68</f>
        <v>1691.59440352</v>
      </c>
      <c r="L68" s="6">
        <f>_xlfn.XLOOKUP(Table6[[#This Row],[Date]],tbl_naspers_price_data[Date],tbl_naspers_price_data[Market Cap (ZAR B)])</f>
        <v>634.1880900000001</v>
      </c>
      <c r="M68" s="18">
        <f>1-(L68/K68)</f>
        <v>0.62509447378146166</v>
      </c>
      <c r="N68" s="6">
        <f>K68-L68</f>
        <v>1057.4063135199999</v>
      </c>
    </row>
    <row r="69" spans="1:14">
      <c r="A69" s="5">
        <f>tbl_price_history!A69</f>
        <v>45138</v>
      </c>
      <c r="B69" s="14">
        <f>_xlfn.XLOOKUP(A69,tbl_tencent_market_data[Date],tbl_tencent_market_data[Market Cap (HKD B)])</f>
        <v>3163.0939199999998</v>
      </c>
      <c r="C69" s="1">
        <f>_xlfn.XLOOKUP(A69,tbl_fx_rates_data[Date],tbl_fx_rates_data[HKD_ZAR])</f>
        <v>2.29</v>
      </c>
      <c r="D69" s="3">
        <f>YEAR(EDATE(A69,9))</f>
        <v>2024</v>
      </c>
      <c r="E69" s="6">
        <f>B69*C69</f>
        <v>7243.4850767999997</v>
      </c>
      <c r="F69" s="14">
        <f>_xlfn.XLOOKUP(D69,tbl_ownership[Fiscal_Year],tbl_ownership[Ownership_%])</f>
        <v>0.24</v>
      </c>
      <c r="G69" s="6">
        <f>E69*F69</f>
        <v>1738.4364184319998</v>
      </c>
      <c r="H69" s="3">
        <f>_xlfn.XLOOKUP(D69,tbl_netdebt[Fiscal_Year],tbl_netdebt[Net_debt_USD_B],0)</f>
        <v>0.7</v>
      </c>
      <c r="I69" s="3">
        <f>_xlfn.XLOOKUP(A69,tbl_fx_rates_data[Date],tbl_fx_rates_data[USD_ZAR])</f>
        <v>17.850000000000001</v>
      </c>
      <c r="J69" s="6">
        <f>H69*I69</f>
        <v>12.495000000000001</v>
      </c>
      <c r="K69" s="6">
        <f>G69-J69</f>
        <v>1725.9414184319999</v>
      </c>
      <c r="L69" s="6">
        <f>_xlfn.XLOOKUP(Table6[[#This Row],[Date]],tbl_naspers_price_data[Date],tbl_naspers_price_data[Market Cap (ZAR B)])</f>
        <v>655.66575</v>
      </c>
      <c r="M69" s="18">
        <f>1-(L69/K69)</f>
        <v>0.62011123726570883</v>
      </c>
      <c r="N69" s="6">
        <f>K69-L69</f>
        <v>1070.2756684319997</v>
      </c>
    </row>
    <row r="70" spans="1:14">
      <c r="A70" s="5">
        <f>tbl_price_history!A70</f>
        <v>45169</v>
      </c>
      <c r="B70" s="14">
        <f>_xlfn.XLOOKUP(A70,tbl_tencent_market_data[Date],tbl_tencent_market_data[Market Cap (HKD B)])</f>
        <v>2900.7438299999999</v>
      </c>
      <c r="C70" s="1">
        <f>_xlfn.XLOOKUP(A70,tbl_fx_rates_data[Date],tbl_fx_rates_data[HKD_ZAR])</f>
        <v>2.41</v>
      </c>
      <c r="D70" s="3">
        <f>YEAR(EDATE(A70,9))</f>
        <v>2024</v>
      </c>
      <c r="E70" s="6">
        <f>B70*C70</f>
        <v>6990.7926303000004</v>
      </c>
      <c r="F70" s="14">
        <f>_xlfn.XLOOKUP(D70,tbl_ownership[Fiscal_Year],tbl_ownership[Ownership_%])</f>
        <v>0.24</v>
      </c>
      <c r="G70" s="6">
        <f>E70*F70</f>
        <v>1677.790231272</v>
      </c>
      <c r="H70" s="3">
        <f>_xlfn.XLOOKUP(D70,tbl_netdebt[Fiscal_Year],tbl_netdebt[Net_debt_USD_B],0)</f>
        <v>0.7</v>
      </c>
      <c r="I70" s="3">
        <f>_xlfn.XLOOKUP(A70,tbl_fx_rates_data[Date],tbl_fx_rates_data[USD_ZAR])</f>
        <v>18.87</v>
      </c>
      <c r="J70" s="6">
        <f>H70*I70</f>
        <v>13.209</v>
      </c>
      <c r="K70" s="6">
        <f>G70-J70</f>
        <v>1664.581231272</v>
      </c>
      <c r="L70" s="6">
        <f>_xlfn.XLOOKUP(Table6[[#This Row],[Date]],tbl_naspers_price_data[Date],tbl_naspers_price_data[Market Cap (ZAR B)])</f>
        <v>600.22689000000003</v>
      </c>
      <c r="M70" s="18">
        <f>1-(L70/K70)</f>
        <v>0.63941267706032412</v>
      </c>
      <c r="N70" s="6">
        <f>K70-L70</f>
        <v>1064.3543412720001</v>
      </c>
    </row>
    <row r="71" spans="1:14">
      <c r="A71" s="5">
        <f>tbl_price_history!A71</f>
        <v>45199</v>
      </c>
      <c r="B71" s="14">
        <f>_xlfn.XLOOKUP(A71,tbl_tencent_market_data[Date],tbl_tencent_market_data[Market Cap (HKD B)])</f>
        <v>2732.9269499999996</v>
      </c>
      <c r="C71" s="1">
        <f>_xlfn.XLOOKUP(A71,tbl_fx_rates_data[Date],tbl_fx_rates_data[HKD_ZAR])</f>
        <v>2.42</v>
      </c>
      <c r="D71" s="3">
        <f>YEAR(EDATE(A71,9))</f>
        <v>2024</v>
      </c>
      <c r="E71" s="6">
        <f>B71*C71</f>
        <v>6613.6832189999986</v>
      </c>
      <c r="F71" s="14">
        <f>_xlfn.XLOOKUP(D71,tbl_ownership[Fiscal_Year],tbl_ownership[Ownership_%])</f>
        <v>0.24</v>
      </c>
      <c r="G71" s="6">
        <f>E71*F71</f>
        <v>1587.2839725599997</v>
      </c>
      <c r="H71" s="3">
        <f>_xlfn.XLOOKUP(D71,tbl_netdebt[Fiscal_Year],tbl_netdebt[Net_debt_USD_B],0)</f>
        <v>0.7</v>
      </c>
      <c r="I71" s="3">
        <f>_xlfn.XLOOKUP(A71,tbl_fx_rates_data[Date],tbl_fx_rates_data[USD_ZAR])</f>
        <v>18.920000000000002</v>
      </c>
      <c r="J71" s="6">
        <f>H71*I71</f>
        <v>13.244</v>
      </c>
      <c r="K71" s="6">
        <f>G71-J71</f>
        <v>1574.0399725599998</v>
      </c>
      <c r="L71" s="6">
        <f>_xlfn.XLOOKUP(Table6[[#This Row],[Date]],tbl_naspers_price_data[Date],tbl_naspers_price_data[Market Cap (ZAR B)])</f>
        <v>564.51165000000003</v>
      </c>
      <c r="M71" s="18">
        <f>1-(L71/K71)</f>
        <v>0.64136129968676392</v>
      </c>
      <c r="N71" s="6">
        <f>K71-L71</f>
        <v>1009.5283225599998</v>
      </c>
    </row>
    <row r="72" spans="1:14">
      <c r="A72" s="5">
        <f>tbl_price_history!A72</f>
        <v>45230</v>
      </c>
      <c r="B72" s="14">
        <f>_xlfn.XLOOKUP(A72,tbl_tencent_market_data[Date],tbl_tencent_market_data[Market Cap (HKD B)])</f>
        <v>2581.1834399999998</v>
      </c>
      <c r="C72" s="1">
        <f>_xlfn.XLOOKUP(A72,tbl_fx_rates_data[Date],tbl_fx_rates_data[HKD_ZAR])</f>
        <v>2.38</v>
      </c>
      <c r="D72" s="3">
        <f>YEAR(EDATE(A72,9))</f>
        <v>2024</v>
      </c>
      <c r="E72" s="6">
        <f>B72*C72</f>
        <v>6143.2165871999996</v>
      </c>
      <c r="F72" s="14">
        <f>_xlfn.XLOOKUP(D72,tbl_ownership[Fiscal_Year],tbl_ownership[Ownership_%])</f>
        <v>0.24</v>
      </c>
      <c r="G72" s="6">
        <f>E72*F72</f>
        <v>1474.3719809279999</v>
      </c>
      <c r="H72" s="3">
        <f>_xlfn.XLOOKUP(D72,tbl_netdebt[Fiscal_Year],tbl_netdebt[Net_debt_USD_B],0)</f>
        <v>0.7</v>
      </c>
      <c r="I72" s="3">
        <f>_xlfn.XLOOKUP(A72,tbl_fx_rates_data[Date],tbl_fx_rates_data[USD_ZAR])</f>
        <v>18.64</v>
      </c>
      <c r="J72" s="6">
        <f>H72*I72</f>
        <v>13.048</v>
      </c>
      <c r="K72" s="6">
        <f>G72-J72</f>
        <v>1461.3239809279999</v>
      </c>
      <c r="L72" s="6">
        <f>_xlfn.XLOOKUP(Table6[[#This Row],[Date]],tbl_naspers_price_data[Date],tbl_naspers_price_data[Market Cap (ZAR B)])</f>
        <v>542.82872999999995</v>
      </c>
      <c r="M72" s="18">
        <f>1-(L72/K72)</f>
        <v>0.62853635669806662</v>
      </c>
      <c r="N72" s="6">
        <f>K72-L72</f>
        <v>918.4952509279999</v>
      </c>
    </row>
    <row r="73" spans="1:14">
      <c r="A73" s="5">
        <f>tbl_price_history!A73</f>
        <v>45260</v>
      </c>
      <c r="B73" s="14">
        <f>_xlfn.XLOOKUP(A73,tbl_tencent_market_data[Date],tbl_tencent_market_data[Market Cap (HKD B)])</f>
        <v>2918.5425899999996</v>
      </c>
      <c r="C73" s="1">
        <f>_xlfn.XLOOKUP(A73,tbl_fx_rates_data[Date],tbl_fx_rates_data[HKD_ZAR])</f>
        <v>2.41</v>
      </c>
      <c r="D73" s="3">
        <f>YEAR(EDATE(A73,9))</f>
        <v>2024</v>
      </c>
      <c r="E73" s="6">
        <f>B73*C73</f>
        <v>7033.6876418999991</v>
      </c>
      <c r="F73" s="14">
        <f>_xlfn.XLOOKUP(D73,tbl_ownership[Fiscal_Year],tbl_ownership[Ownership_%])</f>
        <v>0.24</v>
      </c>
      <c r="G73" s="6">
        <f>E73*F73</f>
        <v>1688.0850340559998</v>
      </c>
      <c r="H73" s="3">
        <f>_xlfn.XLOOKUP(D73,tbl_netdebt[Fiscal_Year],tbl_netdebt[Net_debt_USD_B],0)</f>
        <v>0.7</v>
      </c>
      <c r="I73" s="3">
        <f>_xlfn.XLOOKUP(A73,tbl_fx_rates_data[Date],tbl_fx_rates_data[USD_ZAR])</f>
        <v>18.850000000000001</v>
      </c>
      <c r="J73" s="6">
        <f>H73*I73</f>
        <v>13.195</v>
      </c>
      <c r="K73" s="6">
        <f>G73-J73</f>
        <v>1674.8900340559999</v>
      </c>
      <c r="L73" s="6">
        <f>_xlfn.XLOOKUP(Table6[[#This Row],[Date]],tbl_naspers_price_data[Date],tbl_naspers_price_data[Market Cap (ZAR B)])</f>
        <v>648.09911999999997</v>
      </c>
      <c r="M73" s="18">
        <f>1-(L73/K73)</f>
        <v>0.61304974844794446</v>
      </c>
      <c r="N73" s="6">
        <f>K73-L73</f>
        <v>1026.790914056</v>
      </c>
    </row>
    <row r="74" spans="1:14">
      <c r="A74" s="5">
        <f>tbl_price_history!A74</f>
        <v>45291</v>
      </c>
      <c r="B74" s="14">
        <f>_xlfn.XLOOKUP(A74,tbl_tencent_market_data[Date],tbl_tencent_market_data[Market Cap (HKD B)])</f>
        <v>2620.5041699999997</v>
      </c>
      <c r="C74" s="1">
        <f>_xlfn.XLOOKUP(A74,tbl_fx_rates_data[Date],tbl_fx_rates_data[HKD_ZAR])</f>
        <v>2.34</v>
      </c>
      <c r="D74" s="3">
        <f>YEAR(EDATE(A74,9))</f>
        <v>2024</v>
      </c>
      <c r="E74" s="6">
        <f>B74*C74</f>
        <v>6131.9797577999989</v>
      </c>
      <c r="F74" s="14">
        <f>_xlfn.XLOOKUP(D74,tbl_ownership[Fiscal_Year],tbl_ownership[Ownership_%])</f>
        <v>0.24</v>
      </c>
      <c r="G74" s="6">
        <f>E74*F74</f>
        <v>1471.6751418719996</v>
      </c>
      <c r="H74" s="3">
        <f>_xlfn.XLOOKUP(D74,tbl_netdebt[Fiscal_Year],tbl_netdebt[Net_debt_USD_B],0)</f>
        <v>0.7</v>
      </c>
      <c r="I74" s="3">
        <f>_xlfn.XLOOKUP(A74,tbl_fx_rates_data[Date],tbl_fx_rates_data[USD_ZAR])</f>
        <v>18.28</v>
      </c>
      <c r="J74" s="6">
        <f>H74*I74</f>
        <v>12.795999999999999</v>
      </c>
      <c r="K74" s="6">
        <f>G74-J74</f>
        <v>1458.8791418719995</v>
      </c>
      <c r="L74" s="6">
        <f>_xlfn.XLOOKUP(Table6[[#This Row],[Date]],tbl_naspers_price_data[Date],tbl_naspers_price_data[Market Cap (ZAR B)])</f>
        <v>583.62882000000002</v>
      </c>
      <c r="M74" s="18">
        <f>1-(L74/K74)</f>
        <v>0.59994710785219585</v>
      </c>
      <c r="N74" s="6">
        <f>K74-L74</f>
        <v>875.25032187199952</v>
      </c>
    </row>
    <row r="75" spans="1:14">
      <c r="A75" s="5">
        <f>tbl_price_history!A75</f>
        <v>45322</v>
      </c>
      <c r="B75" s="14">
        <f>_xlfn.XLOOKUP(A75,tbl_tencent_market_data[Date],tbl_tencent_market_data[Market Cap (HKD B)])</f>
        <v>2415.1827599999997</v>
      </c>
      <c r="C75" s="1">
        <f>_xlfn.XLOOKUP(A75,tbl_fx_rates_data[Date],tbl_fx_rates_data[HKD_ZAR])</f>
        <v>2.39</v>
      </c>
      <c r="D75" s="3">
        <f>YEAR(EDATE(A75,9))</f>
        <v>2024</v>
      </c>
      <c r="E75" s="6">
        <f>B75*C75</f>
        <v>5772.2867963999997</v>
      </c>
      <c r="F75" s="14">
        <f>_xlfn.XLOOKUP(D75,tbl_ownership[Fiscal_Year],tbl_ownership[Ownership_%])</f>
        <v>0.24</v>
      </c>
      <c r="G75" s="6">
        <f>E75*F75</f>
        <v>1385.3488311359999</v>
      </c>
      <c r="H75" s="3">
        <f>_xlfn.XLOOKUP(D75,tbl_netdebt[Fiscal_Year],tbl_netdebt[Net_debt_USD_B],0)</f>
        <v>0.7</v>
      </c>
      <c r="I75" s="3">
        <f>_xlfn.XLOOKUP(A75,tbl_fx_rates_data[Date],tbl_fx_rates_data[USD_ZAR])</f>
        <v>18.670000000000002</v>
      </c>
      <c r="J75" s="6">
        <f>H75*I75</f>
        <v>13.069000000000001</v>
      </c>
      <c r="K75" s="6">
        <f>G75-J75</f>
        <v>1372.279831136</v>
      </c>
      <c r="L75" s="6">
        <f>_xlfn.XLOOKUP(Table6[[#This Row],[Date]],tbl_naspers_price_data[Date],tbl_naspers_price_data[Market Cap (ZAR B)])</f>
        <v>585.36419999999998</v>
      </c>
      <c r="M75" s="18">
        <f>1-(L75/K75)</f>
        <v>0.57343670968666494</v>
      </c>
      <c r="N75" s="6">
        <f>K75-L75</f>
        <v>786.915631136</v>
      </c>
    </row>
    <row r="76" spans="1:14">
      <c r="A76" s="5">
        <f>tbl_price_history!A76</f>
        <v>45351</v>
      </c>
      <c r="B76" s="14">
        <f>_xlfn.XLOOKUP(A76,tbl_tencent_market_data[Date],tbl_tencent_market_data[Market Cap (HKD B)])</f>
        <v>2474.1184499999999</v>
      </c>
      <c r="C76" s="1">
        <f>_xlfn.XLOOKUP(A76,tbl_fx_rates_data[Date],tbl_fx_rates_data[HKD_ZAR])</f>
        <v>2.4500000000000002</v>
      </c>
      <c r="D76" s="3">
        <f>YEAR(EDATE(A76,9))</f>
        <v>2024</v>
      </c>
      <c r="E76" s="6">
        <f>B76*C76</f>
        <v>6061.5902025000005</v>
      </c>
      <c r="F76" s="14">
        <f>_xlfn.XLOOKUP(D76,tbl_ownership[Fiscal_Year],tbl_ownership[Ownership_%])</f>
        <v>0.24</v>
      </c>
      <c r="G76" s="6">
        <f>E76*F76</f>
        <v>1454.7816486000002</v>
      </c>
      <c r="H76" s="3">
        <f>_xlfn.XLOOKUP(D76,tbl_netdebt[Fiscal_Year],tbl_netdebt[Net_debt_USD_B],0)</f>
        <v>0.7</v>
      </c>
      <c r="I76" s="3">
        <f>_xlfn.XLOOKUP(A76,tbl_fx_rates_data[Date],tbl_fx_rates_data[USD_ZAR])</f>
        <v>19.21</v>
      </c>
      <c r="J76" s="6">
        <f>H76*I76</f>
        <v>13.446999999999999</v>
      </c>
      <c r="K76" s="6">
        <f>G76-J76</f>
        <v>1441.3346486000003</v>
      </c>
      <c r="L76" s="6">
        <f>_xlfn.XLOOKUP(Table6[[#This Row],[Date]],tbl_naspers_price_data[Date],tbl_naspers_price_data[Market Cap (ZAR B)])</f>
        <v>588.70434</v>
      </c>
      <c r="M76" s="18">
        <f>1-(L76/K76)</f>
        <v>0.59155610352403487</v>
      </c>
      <c r="N76" s="6">
        <f>K76-L76</f>
        <v>852.63030860000026</v>
      </c>
    </row>
    <row r="77" spans="1:14">
      <c r="A77" s="5">
        <f>tbl_price_history!A77</f>
        <v>45382</v>
      </c>
      <c r="B77" s="14">
        <f>_xlfn.XLOOKUP(A77,tbl_tencent_market_data[Date],tbl_tencent_market_data[Market Cap (HKD B)])</f>
        <v>2711.4957899999995</v>
      </c>
      <c r="C77" s="1">
        <f>_xlfn.XLOOKUP(A77,tbl_fx_rates_data[Date],tbl_fx_rates_data[HKD_ZAR])</f>
        <v>2.41</v>
      </c>
      <c r="D77" s="3">
        <f>YEAR(EDATE(A77,9))</f>
        <v>2024</v>
      </c>
      <c r="E77" s="6">
        <f>B77*C77</f>
        <v>6534.7048538999989</v>
      </c>
      <c r="F77" s="14">
        <f>_xlfn.XLOOKUP(D77,tbl_ownership[Fiscal_Year],tbl_ownership[Ownership_%])</f>
        <v>0.24</v>
      </c>
      <c r="G77" s="6">
        <f>E77*F77</f>
        <v>1568.3291649359996</v>
      </c>
      <c r="H77" s="3">
        <f>_xlfn.XLOOKUP(D77,tbl_netdebt[Fiscal_Year],tbl_netdebt[Net_debt_USD_B],0)</f>
        <v>0.7</v>
      </c>
      <c r="I77" s="3">
        <f>_xlfn.XLOOKUP(A77,tbl_fx_rates_data[Date],tbl_fx_rates_data[USD_ZAR])</f>
        <v>18.920000000000002</v>
      </c>
      <c r="J77" s="6">
        <f>H77*I77</f>
        <v>13.244</v>
      </c>
      <c r="K77" s="6">
        <f>G77-J77</f>
        <v>1555.0851649359997</v>
      </c>
      <c r="L77" s="6">
        <f>_xlfn.XLOOKUP(Table6[[#This Row],[Date]],tbl_naspers_price_data[Date],tbl_naspers_price_data[Market Cap (ZAR B)])</f>
        <v>626.47218000000009</v>
      </c>
      <c r="M77" s="18">
        <f>1-(L77/K77)</f>
        <v>0.5971460636846968</v>
      </c>
      <c r="N77" s="6">
        <f>K77-L77</f>
        <v>928.61298493599963</v>
      </c>
    </row>
    <row r="78" spans="1:14">
      <c r="A78" s="5">
        <f>tbl_price_history!A78</f>
        <v>45412</v>
      </c>
      <c r="B78" s="14">
        <f>_xlfn.XLOOKUP(A78,tbl_tencent_market_data[Date],tbl_tencent_market_data[Market Cap (HKD B)])</f>
        <v>3098.8912499999997</v>
      </c>
      <c r="C78" s="1">
        <f>_xlfn.XLOOKUP(A78,tbl_fx_rates_data[Date],tbl_fx_rates_data[HKD_ZAR])</f>
        <v>2.4</v>
      </c>
      <c r="D78" s="3">
        <f>YEAR(EDATE(A78,9))</f>
        <v>2025</v>
      </c>
      <c r="E78" s="6">
        <f>B78*C78</f>
        <v>7437.338999999999</v>
      </c>
      <c r="F78" s="14">
        <f>_xlfn.XLOOKUP(D78,tbl_ownership[Fiscal_Year],tbl_ownership[Ownership_%])</f>
        <v>0.23</v>
      </c>
      <c r="G78" s="6">
        <f>E78*F78</f>
        <v>1710.5879699999998</v>
      </c>
      <c r="H78" s="3">
        <f>_xlfn.XLOOKUP(D78,tbl_netdebt[Fiscal_Year],tbl_netdebt[Net_debt_USD_B],0)</f>
        <v>-1.9</v>
      </c>
      <c r="I78" s="3">
        <f>_xlfn.XLOOKUP(A78,tbl_fx_rates_data[Date],tbl_fx_rates_data[USD_ZAR])</f>
        <v>18.760000000000002</v>
      </c>
      <c r="J78" s="6">
        <f>H78*I78</f>
        <v>-35.643999999999998</v>
      </c>
      <c r="K78" s="6">
        <f>G78-J78</f>
        <v>1746.2319699999998</v>
      </c>
      <c r="L78" s="6">
        <f>_xlfn.XLOOKUP(Table6[[#This Row],[Date]],tbl_naspers_price_data[Date],tbl_naspers_price_data[Market Cap (ZAR B)])</f>
        <v>672.36343999999997</v>
      </c>
      <c r="M78" s="18">
        <f>1-(L78/K78)</f>
        <v>0.61496327432374287</v>
      </c>
      <c r="N78" s="6">
        <f>K78-L78</f>
        <v>1073.8685299999997</v>
      </c>
    </row>
    <row r="79" spans="1:14">
      <c r="A79" s="5">
        <f>tbl_price_history!A79</f>
        <v>45443</v>
      </c>
      <c r="B79" s="14">
        <f>_xlfn.XLOOKUP(A79,tbl_tencent_market_data[Date],tbl_tencent_market_data[Market Cap (HKD B)])</f>
        <v>3211.31403</v>
      </c>
      <c r="C79" s="1">
        <f>_xlfn.XLOOKUP(A79,tbl_fx_rates_data[Date],tbl_fx_rates_data[HKD_ZAR])</f>
        <v>2.41</v>
      </c>
      <c r="D79" s="3">
        <f>YEAR(EDATE(A79,9))</f>
        <v>2025</v>
      </c>
      <c r="E79" s="6">
        <f>B79*C79</f>
        <v>7739.2668123000003</v>
      </c>
      <c r="F79" s="14">
        <f>_xlfn.XLOOKUP(D79,tbl_ownership[Fiscal_Year],tbl_ownership[Ownership_%])</f>
        <v>0.23</v>
      </c>
      <c r="G79" s="6">
        <f>E79*F79</f>
        <v>1780.031366829</v>
      </c>
      <c r="H79" s="3">
        <f>_xlfn.XLOOKUP(D79,tbl_netdebt[Fiscal_Year],tbl_netdebt[Net_debt_USD_B],0)</f>
        <v>-1.9</v>
      </c>
      <c r="I79" s="3">
        <f>_xlfn.XLOOKUP(A79,tbl_fx_rates_data[Date],tbl_fx_rates_data[USD_ZAR])</f>
        <v>18.809999999999999</v>
      </c>
      <c r="J79" s="6">
        <f>H79*I79</f>
        <v>-35.738999999999997</v>
      </c>
      <c r="K79" s="6">
        <f>G79-J79</f>
        <v>1815.7703668290001</v>
      </c>
      <c r="L79" s="6">
        <f>_xlfn.XLOOKUP(Table6[[#This Row],[Date]],tbl_naspers_price_data[Date],tbl_naspers_price_data[Market Cap (ZAR B)])</f>
        <v>694.90852000000007</v>
      </c>
      <c r="M79" s="18">
        <f>1-(L79/K79)</f>
        <v>0.61729273001984009</v>
      </c>
      <c r="N79" s="6">
        <f>K79-L79</f>
        <v>1120.8618468290001</v>
      </c>
    </row>
    <row r="80" spans="1:14">
      <c r="A80" s="5">
        <f>tbl_price_history!A80</f>
        <v>45473</v>
      </c>
      <c r="B80" s="14">
        <f>_xlfn.XLOOKUP(A80,tbl_tencent_market_data[Date],tbl_tencent_market_data[Market Cap (HKD B)])</f>
        <v>3352.52358</v>
      </c>
      <c r="C80" s="1">
        <f>_xlfn.XLOOKUP(A80,tbl_fx_rates_data[Date],tbl_fx_rates_data[HKD_ZAR])</f>
        <v>2.33</v>
      </c>
      <c r="D80" s="3">
        <f>YEAR(EDATE(A80,9))</f>
        <v>2025</v>
      </c>
      <c r="E80" s="6">
        <f>B80*C80</f>
        <v>7811.3799414000005</v>
      </c>
      <c r="F80" s="14">
        <f>_xlfn.XLOOKUP(D80,tbl_ownership[Fiscal_Year],tbl_ownership[Ownership_%])</f>
        <v>0.23</v>
      </c>
      <c r="G80" s="6">
        <f>E80*F80</f>
        <v>1796.6173865220003</v>
      </c>
      <c r="H80" s="3">
        <f>_xlfn.XLOOKUP(D80,tbl_netdebt[Fiscal_Year],tbl_netdebt[Net_debt_USD_B],0)</f>
        <v>-1.9</v>
      </c>
      <c r="I80" s="3">
        <f>_xlfn.XLOOKUP(A80,tbl_fx_rates_data[Date],tbl_fx_rates_data[USD_ZAR])</f>
        <v>18.190000000000001</v>
      </c>
      <c r="J80" s="6">
        <f>H80*I80</f>
        <v>-34.561</v>
      </c>
      <c r="K80" s="6">
        <f>G80-J80</f>
        <v>1831.1783865220002</v>
      </c>
      <c r="L80" s="6">
        <f>_xlfn.XLOOKUP(Table6[[#This Row],[Date]],tbl_naspers_price_data[Date],tbl_naspers_price_data[Market Cap (ZAR B)])</f>
        <v>664.87948000000006</v>
      </c>
      <c r="M80" s="18">
        <f>1-(L80/K80)</f>
        <v>0.63691168217487482</v>
      </c>
      <c r="N80" s="6">
        <f>K80-L80</f>
        <v>1166.2989065220002</v>
      </c>
    </row>
    <row r="81" spans="1:14">
      <c r="A81" s="5">
        <f>tbl_price_history!A81</f>
        <v>45504</v>
      </c>
      <c r="B81" s="14">
        <f>_xlfn.XLOOKUP(A81,tbl_tencent_market_data[Date],tbl_tencent_market_data[Market Cap (HKD B)])</f>
        <v>3260.7146699999998</v>
      </c>
      <c r="C81" s="1">
        <f>_xlfn.XLOOKUP(A81,tbl_fx_rates_data[Date],tbl_fx_rates_data[HKD_ZAR])</f>
        <v>2.33</v>
      </c>
      <c r="D81" s="3">
        <f>YEAR(EDATE(A81,9))</f>
        <v>2025</v>
      </c>
      <c r="E81" s="6">
        <f>B81*C81</f>
        <v>7597.4651810999994</v>
      </c>
      <c r="F81" s="14">
        <f>_xlfn.XLOOKUP(D81,tbl_ownership[Fiscal_Year],tbl_ownership[Ownership_%])</f>
        <v>0.23</v>
      </c>
      <c r="G81" s="6">
        <f>E81*F81</f>
        <v>1747.416991653</v>
      </c>
      <c r="H81" s="3">
        <f>_xlfn.XLOOKUP(D81,tbl_netdebt[Fiscal_Year],tbl_netdebt[Net_debt_USD_B],0)</f>
        <v>-1.9</v>
      </c>
      <c r="I81" s="3">
        <f>_xlfn.XLOOKUP(A81,tbl_fx_rates_data[Date],tbl_fx_rates_data[USD_ZAR])</f>
        <v>18.2</v>
      </c>
      <c r="J81" s="6">
        <f>H81*I81</f>
        <v>-34.58</v>
      </c>
      <c r="K81" s="6">
        <f>G81-J81</f>
        <v>1781.9969916529999</v>
      </c>
      <c r="L81" s="6">
        <f>_xlfn.XLOOKUP(Table6[[#This Row],[Date]],tbl_naspers_price_data[Date],tbl_naspers_price_data[Market Cap (ZAR B)])</f>
        <v>656.49148000000002</v>
      </c>
      <c r="M81" s="18">
        <f>1-(L81/K81)</f>
        <v>0.63159787414061164</v>
      </c>
      <c r="N81" s="6">
        <f>K81-L81</f>
        <v>1125.5055116529998</v>
      </c>
    </row>
    <row r="82" spans="1:14">
      <c r="A82" s="5">
        <f>tbl_price_history!A82</f>
        <v>45535</v>
      </c>
      <c r="B82" s="14">
        <f>_xlfn.XLOOKUP(A82,tbl_tencent_market_data[Date],tbl_tencent_market_data[Market Cap (HKD B)])</f>
        <v>3438.8838899999996</v>
      </c>
      <c r="C82" s="1">
        <f>_xlfn.XLOOKUP(A82,tbl_fx_rates_data[Date],tbl_fx_rates_data[HKD_ZAR])</f>
        <v>2.29</v>
      </c>
      <c r="D82" s="3">
        <f>YEAR(EDATE(A82,9))</f>
        <v>2025</v>
      </c>
      <c r="E82" s="6">
        <f>B82*C82</f>
        <v>7875.044108099999</v>
      </c>
      <c r="F82" s="14">
        <f>_xlfn.XLOOKUP(D82,tbl_ownership[Fiscal_Year],tbl_ownership[Ownership_%])</f>
        <v>0.23</v>
      </c>
      <c r="G82" s="6">
        <f>E82*F82</f>
        <v>1811.2601448629998</v>
      </c>
      <c r="H82" s="3">
        <f>_xlfn.XLOOKUP(D82,tbl_netdebt[Fiscal_Year],tbl_netdebt[Net_debt_USD_B],0)</f>
        <v>-1.9</v>
      </c>
      <c r="I82" s="3">
        <f>_xlfn.XLOOKUP(A82,tbl_fx_rates_data[Date],tbl_fx_rates_data[USD_ZAR])</f>
        <v>17.82</v>
      </c>
      <c r="J82" s="6">
        <f>H82*I82</f>
        <v>-33.857999999999997</v>
      </c>
      <c r="K82" s="6">
        <f>G82-J82</f>
        <v>1845.1181448629998</v>
      </c>
      <c r="L82" s="6">
        <f>_xlfn.XLOOKUP(Table6[[#This Row],[Date]],tbl_naspers_price_data[Date],tbl_naspers_price_data[Market Cap (ZAR B)])</f>
        <v>685.4766800000001</v>
      </c>
      <c r="M82" s="18">
        <f>1-(L82/K82)</f>
        <v>0.62849171371034518</v>
      </c>
      <c r="N82" s="6">
        <f>K82-L82</f>
        <v>1159.6414648629998</v>
      </c>
    </row>
    <row r="83" spans="1:14">
      <c r="A83" s="5">
        <f>tbl_price_history!A83</f>
        <v>45565</v>
      </c>
      <c r="B83" s="14">
        <f>_xlfn.XLOOKUP(A83,tbl_tencent_market_data[Date],tbl_tencent_market_data[Market Cap (HKD B)])</f>
        <v>4002.45075</v>
      </c>
      <c r="C83" s="1">
        <f>_xlfn.XLOOKUP(A83,tbl_fx_rates_data[Date],tbl_fx_rates_data[HKD_ZAR])</f>
        <v>2.2200000000000002</v>
      </c>
      <c r="D83" s="3">
        <f>YEAR(EDATE(A83,9))</f>
        <v>2025</v>
      </c>
      <c r="E83" s="6">
        <f>B83*C83</f>
        <v>8885.4406650000001</v>
      </c>
      <c r="F83" s="14">
        <f>_xlfn.XLOOKUP(D83,tbl_ownership[Fiscal_Year],tbl_ownership[Ownership_%])</f>
        <v>0.23</v>
      </c>
      <c r="G83" s="6">
        <f>E83*F83</f>
        <v>2043.65135295</v>
      </c>
      <c r="H83" s="3">
        <f>_xlfn.XLOOKUP(D83,tbl_netdebt[Fiscal_Year],tbl_netdebt[Net_debt_USD_B],0)</f>
        <v>-1.9</v>
      </c>
      <c r="I83" s="3">
        <f>_xlfn.XLOOKUP(A83,tbl_fx_rates_data[Date],tbl_fx_rates_data[USD_ZAR])</f>
        <v>17.260000000000002</v>
      </c>
      <c r="J83" s="6">
        <f>H83*I83</f>
        <v>-32.794000000000004</v>
      </c>
      <c r="K83" s="6">
        <f>G83-J83</f>
        <v>2076.4453529500001</v>
      </c>
      <c r="L83" s="6">
        <f>_xlfn.XLOOKUP(Table6[[#This Row],[Date]],tbl_naspers_price_data[Date],tbl_naspers_price_data[Market Cap (ZAR B)])</f>
        <v>781.87343999999996</v>
      </c>
      <c r="M83" s="18">
        <f>1-(L83/K83)</f>
        <v>0.62345580687245417</v>
      </c>
      <c r="N83" s="6">
        <f>K83-L83</f>
        <v>1294.5719129500003</v>
      </c>
    </row>
    <row r="84" spans="1:14">
      <c r="A84" s="5">
        <f>tbl_price_history!A84</f>
        <v>45596</v>
      </c>
      <c r="B84" s="14">
        <f>_xlfn.XLOOKUP(A84,tbl_tencent_market_data[Date],tbl_tencent_market_data[Market Cap (HKD B)])</f>
        <v>3642.3890999999999</v>
      </c>
      <c r="C84" s="1">
        <f>_xlfn.XLOOKUP(A84,tbl_fx_rates_data[Date],tbl_fx_rates_data[HKD_ZAR])</f>
        <v>2.2599999999999998</v>
      </c>
      <c r="D84" s="3">
        <f>YEAR(EDATE(A84,9))</f>
        <v>2025</v>
      </c>
      <c r="E84" s="6">
        <f>B84*C84</f>
        <v>8231.7993659999993</v>
      </c>
      <c r="F84" s="14">
        <f>_xlfn.XLOOKUP(D84,tbl_ownership[Fiscal_Year],tbl_ownership[Ownership_%])</f>
        <v>0.23</v>
      </c>
      <c r="G84" s="6">
        <f>E84*F84</f>
        <v>1893.3138541799999</v>
      </c>
      <c r="H84" s="3">
        <f>_xlfn.XLOOKUP(D84,tbl_netdebt[Fiscal_Year],tbl_netdebt[Net_debt_USD_B],0)</f>
        <v>-1.9</v>
      </c>
      <c r="I84" s="3">
        <f>_xlfn.XLOOKUP(A84,tbl_fx_rates_data[Date],tbl_fx_rates_data[USD_ZAR])</f>
        <v>17.559999999999999</v>
      </c>
      <c r="J84" s="6">
        <f>H84*I84</f>
        <v>-33.363999999999997</v>
      </c>
      <c r="K84" s="6">
        <f>G84-J84</f>
        <v>1926.6778541799999</v>
      </c>
      <c r="L84" s="6">
        <f>_xlfn.XLOOKUP(Table6[[#This Row],[Date]],tbl_naspers_price_data[Date],tbl_naspers_price_data[Market Cap (ZAR B)])</f>
        <v>772.41363999999999</v>
      </c>
      <c r="M84" s="18">
        <f>1-(L84/K84)</f>
        <v>0.59909559435469739</v>
      </c>
      <c r="N84" s="6">
        <f>K84-L84</f>
        <v>1154.26421418</v>
      </c>
    </row>
    <row r="85" spans="1:14">
      <c r="A85" s="5">
        <f>tbl_price_history!A85</f>
        <v>45626</v>
      </c>
      <c r="B85" s="14">
        <f>_xlfn.XLOOKUP(A85,tbl_tencent_market_data[Date],tbl_tencent_market_data[Market Cap (HKD B)])</f>
        <v>3582.9993599999998</v>
      </c>
      <c r="C85" s="1">
        <f>_xlfn.XLOOKUP(A85,tbl_fx_rates_data[Date],tbl_fx_rates_data[HKD_ZAR])</f>
        <v>2.3199999999999998</v>
      </c>
      <c r="D85" s="3">
        <f>YEAR(EDATE(A85,9))</f>
        <v>2025</v>
      </c>
      <c r="E85" s="6">
        <f>B85*C85</f>
        <v>8312.5585151999985</v>
      </c>
      <c r="F85" s="14">
        <f>_xlfn.XLOOKUP(D85,tbl_ownership[Fiscal_Year],tbl_ownership[Ownership_%])</f>
        <v>0.23</v>
      </c>
      <c r="G85" s="6">
        <f>E85*F85</f>
        <v>1911.8884584959997</v>
      </c>
      <c r="H85" s="3">
        <f>_xlfn.XLOOKUP(D85,tbl_netdebt[Fiscal_Year],tbl_netdebt[Net_debt_USD_B],0)</f>
        <v>-1.9</v>
      </c>
      <c r="I85" s="3">
        <f>_xlfn.XLOOKUP(A85,tbl_fx_rates_data[Date],tbl_fx_rates_data[USD_ZAR])</f>
        <v>18.05</v>
      </c>
      <c r="J85" s="6">
        <f>H85*I85</f>
        <v>-34.295000000000002</v>
      </c>
      <c r="K85" s="6">
        <f>G85-J85</f>
        <v>1946.1834584959997</v>
      </c>
      <c r="L85" s="6">
        <f>_xlfn.XLOOKUP(Table6[[#This Row],[Date]],tbl_naspers_price_data[Date],tbl_naspers_price_data[Market Cap (ZAR B)])</f>
        <v>758.21928000000003</v>
      </c>
      <c r="M85" s="18">
        <f>1-(L85/K85)</f>
        <v>0.61040708845303415</v>
      </c>
      <c r="N85" s="6">
        <f>K85-L85</f>
        <v>1187.9641784959997</v>
      </c>
    </row>
    <row r="86" spans="1:14">
      <c r="A86" s="5">
        <f>tbl_price_history!A86</f>
        <v>45657</v>
      </c>
      <c r="B86" s="14">
        <f>_xlfn.XLOOKUP(A86,tbl_tencent_market_data[Date],tbl_tencent_market_data[Market Cap (HKD B)])</f>
        <v>3779.2397700000001</v>
      </c>
      <c r="C86" s="1">
        <f>_xlfn.XLOOKUP(A86,tbl_fx_rates_data[Date],tbl_fx_rates_data[HKD_ZAR])</f>
        <v>2.4300000000000002</v>
      </c>
      <c r="D86" s="3">
        <f>YEAR(EDATE(A86,9))</f>
        <v>2025</v>
      </c>
      <c r="E86" s="6">
        <f>B86*C86</f>
        <v>9183.552641100001</v>
      </c>
      <c r="F86" s="14">
        <f>_xlfn.XLOOKUP(D86,tbl_ownership[Fiscal_Year],tbl_ownership[Ownership_%])</f>
        <v>0.23</v>
      </c>
      <c r="G86" s="6">
        <f>E86*F86</f>
        <v>2112.2171074530002</v>
      </c>
      <c r="H86" s="3">
        <f>_xlfn.XLOOKUP(D86,tbl_netdebt[Fiscal_Year],tbl_netdebt[Net_debt_USD_B],0)</f>
        <v>-1.9</v>
      </c>
      <c r="I86" s="3">
        <f>_xlfn.XLOOKUP(A86,tbl_fx_rates_data[Date],tbl_fx_rates_data[USD_ZAR])</f>
        <v>18.850000000000001</v>
      </c>
      <c r="J86" s="6">
        <f>H86*I86</f>
        <v>-35.814999999999998</v>
      </c>
      <c r="K86" s="6">
        <f>G86-J86</f>
        <v>2148.0321074530002</v>
      </c>
      <c r="L86" s="6">
        <f>_xlfn.XLOOKUP(Table6[[#This Row],[Date]],tbl_naspers_price_data[Date],tbl_naspers_price_data[Market Cap (ZAR B)])</f>
        <v>777.82856000000004</v>
      </c>
      <c r="M86" s="18">
        <f>1-(L86/K86)</f>
        <v>0.63788783356581225</v>
      </c>
      <c r="N86" s="6">
        <f>K86-L86</f>
        <v>1370.2035474530003</v>
      </c>
    </row>
    <row r="87" spans="1:14">
      <c r="A87" s="5">
        <f>tbl_price_history!A87</f>
        <v>45688</v>
      </c>
      <c r="B87" s="14">
        <f>_xlfn.XLOOKUP(A87,tbl_tencent_market_data[Date],tbl_tencent_market_data[Market Cap (HKD B)])</f>
        <v>3618.9601199999997</v>
      </c>
      <c r="C87" s="1">
        <f>_xlfn.XLOOKUP(A87,tbl_fx_rates_data[Date],tbl_fx_rates_data[HKD_ZAR])</f>
        <v>2.4</v>
      </c>
      <c r="D87" s="3">
        <f>YEAR(EDATE(A87,9))</f>
        <v>2025</v>
      </c>
      <c r="E87" s="6">
        <f>B87*C87</f>
        <v>8685.5042879999983</v>
      </c>
      <c r="F87" s="14">
        <f>_xlfn.XLOOKUP(D87,tbl_ownership[Fiscal_Year],tbl_ownership[Ownership_%])</f>
        <v>0.23</v>
      </c>
      <c r="G87" s="6">
        <f>E87*F87</f>
        <v>1997.6659862399997</v>
      </c>
      <c r="H87" s="3">
        <f>_xlfn.XLOOKUP(D87,tbl_netdebt[Fiscal_Year],tbl_netdebt[Net_debt_USD_B],0)</f>
        <v>-1.9</v>
      </c>
      <c r="I87" s="3">
        <f>_xlfn.XLOOKUP(A87,tbl_fx_rates_data[Date],tbl_fx_rates_data[USD_ZAR])</f>
        <v>18.670000000000002</v>
      </c>
      <c r="J87" s="6">
        <f>H87*I87</f>
        <v>-35.472999999999999</v>
      </c>
      <c r="K87" s="6">
        <f>G87-J87</f>
        <v>2033.1389862399997</v>
      </c>
      <c r="L87" s="6">
        <f>_xlfn.XLOOKUP(Table6[[#This Row],[Date]],tbl_naspers_price_data[Date],tbl_naspers_price_data[Market Cap (ZAR B)])</f>
        <v>735.79536000000007</v>
      </c>
      <c r="M87" s="18">
        <f>1-(L87/K87)</f>
        <v>0.63809883880061313</v>
      </c>
      <c r="N87" s="6">
        <f>K87-L87</f>
        <v>1297.3436262399996</v>
      </c>
    </row>
    <row r="88" spans="1:14">
      <c r="A88" s="5">
        <f>tbl_price_history!A88</f>
        <v>45716</v>
      </c>
      <c r="B88" s="14">
        <f>_xlfn.XLOOKUP(A88,tbl_tencent_market_data[Date],tbl_tencent_market_data[Market Cap (HKD B)])</f>
        <v>4308.5712599999997</v>
      </c>
      <c r="C88" s="1">
        <f>_xlfn.XLOOKUP(A88,tbl_fx_rates_data[Date],tbl_fx_rates_data[HKD_ZAR])</f>
        <v>2.4</v>
      </c>
      <c r="D88" s="3">
        <f>YEAR(EDATE(A88,9))</f>
        <v>2025</v>
      </c>
      <c r="E88" s="6">
        <f>B88*C88</f>
        <v>10340.571023999999</v>
      </c>
      <c r="F88" s="14">
        <f>_xlfn.XLOOKUP(D88,tbl_ownership[Fiscal_Year],tbl_ownership[Ownership_%])</f>
        <v>0.23</v>
      </c>
      <c r="G88" s="6">
        <f>E88*F88</f>
        <v>2378.3313355199998</v>
      </c>
      <c r="H88" s="3">
        <f>_xlfn.XLOOKUP(D88,tbl_netdebt[Fiscal_Year],tbl_netdebt[Net_debt_USD_B],0)</f>
        <v>-1.9</v>
      </c>
      <c r="I88" s="3">
        <f>_xlfn.XLOOKUP(A88,tbl_fx_rates_data[Date],tbl_fx_rates_data[USD_ZAR])</f>
        <v>18.690000000000001</v>
      </c>
      <c r="J88" s="6">
        <f>H88*I88</f>
        <v>-35.511000000000003</v>
      </c>
      <c r="K88" s="6">
        <f>G88-J88</f>
        <v>2413.8423355199998</v>
      </c>
      <c r="L88" s="6">
        <f>_xlfn.XLOOKUP(Table6[[#This Row],[Date]],tbl_naspers_price_data[Date],tbl_naspers_price_data[Market Cap (ZAR B)])</f>
        <v>826.39508000000012</v>
      </c>
      <c r="M88" s="18">
        <f>1-(L88/K88)</f>
        <v>0.65764330675641469</v>
      </c>
      <c r="N88" s="6">
        <f>K88-L88</f>
        <v>1587.4472555199995</v>
      </c>
    </row>
    <row r="89" spans="1:14">
      <c r="A89" s="5">
        <f>tbl_price_history!A89</f>
        <v>45747</v>
      </c>
      <c r="B89" s="14">
        <f>_xlfn.XLOOKUP(A89,tbl_tencent_market_data[Date],tbl_tencent_market_data[Market Cap (HKD B)])</f>
        <v>4474.2086999999992</v>
      </c>
      <c r="C89" s="1">
        <f>_xlfn.XLOOKUP(A89,tbl_fx_rates_data[Date],tbl_fx_rates_data[HKD_ZAR])</f>
        <v>2.35</v>
      </c>
      <c r="D89" s="3">
        <f>YEAR(EDATE(A89,9))</f>
        <v>2025</v>
      </c>
      <c r="E89" s="6">
        <f>B89*C89</f>
        <v>10514.390444999999</v>
      </c>
      <c r="F89" s="14">
        <f>_xlfn.XLOOKUP(D89,tbl_ownership[Fiscal_Year],tbl_ownership[Ownership_%])</f>
        <v>0.23</v>
      </c>
      <c r="G89" s="6">
        <f>E89*F89</f>
        <v>2418.3098023499997</v>
      </c>
      <c r="H89" s="3">
        <f>_xlfn.XLOOKUP(D89,tbl_netdebt[Fiscal_Year],tbl_netdebt[Net_debt_USD_B],0)</f>
        <v>-1.9</v>
      </c>
      <c r="I89" s="3">
        <f>_xlfn.XLOOKUP(A89,tbl_fx_rates_data[Date],tbl_fx_rates_data[USD_ZAR])</f>
        <v>18.309999999999999</v>
      </c>
      <c r="J89" s="6">
        <f>H89*I89</f>
        <v>-34.788999999999994</v>
      </c>
      <c r="K89" s="6">
        <f>G89-J89</f>
        <v>2453.0988023499999</v>
      </c>
      <c r="L89" s="6">
        <f>_xlfn.XLOOKUP(Table6[[#This Row],[Date]],tbl_naspers_price_data[Date],tbl_naspers_price_data[Market Cap (ZAR B)])</f>
        <v>842.11792000000003</v>
      </c>
      <c r="M89" s="18">
        <f>1-(L89/K89)</f>
        <v>0.65671259584274599</v>
      </c>
      <c r="N89" s="6">
        <f>K89-L89</f>
        <v>1610.9808823499998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D15" sqref="D15"/>
    </sheetView>
  </sheetViews>
  <sheetFormatPr defaultRowHeight="15"/>
  <cols>
    <col min="1" max="1" width="36.5703125" style="22" bestFit="1" customWidth="1"/>
    <col min="2" max="2" width="27.140625" bestFit="1" customWidth="1"/>
  </cols>
  <sheetData>
    <row r="1" spans="1:3" ht="54.75" customHeight="1">
      <c r="A1" s="27" t="s">
        <v>29</v>
      </c>
      <c r="B1" s="22"/>
      <c r="C1" s="22"/>
    </row>
    <row r="3" spans="1:3">
      <c r="A3" s="22" t="s">
        <v>30</v>
      </c>
      <c r="B3" s="22"/>
      <c r="C3" s="22"/>
    </row>
    <row r="4" spans="1:3">
      <c r="A4" s="28" t="s">
        <v>31</v>
      </c>
      <c r="B4" s="22"/>
      <c r="C4" s="22"/>
    </row>
    <row r="6" spans="1:3">
      <c r="A6" s="27" t="s">
        <v>32</v>
      </c>
      <c r="B6" s="27" t="s">
        <v>33</v>
      </c>
      <c r="C6" s="27" t="s">
        <v>34</v>
      </c>
    </row>
    <row r="7" spans="1:3">
      <c r="A7" s="22">
        <v>2019</v>
      </c>
      <c r="B7" s="22">
        <v>2140</v>
      </c>
      <c r="C7" s="22" t="s">
        <v>35</v>
      </c>
    </row>
    <row r="8" spans="1:3">
      <c r="A8" s="22">
        <v>2020</v>
      </c>
      <c r="B8" s="22">
        <v>2140</v>
      </c>
      <c r="C8" s="22" t="s">
        <v>36</v>
      </c>
    </row>
    <row r="9" spans="1:3">
      <c r="A9" s="22">
        <v>2021</v>
      </c>
      <c r="B9" s="22">
        <v>2040</v>
      </c>
      <c r="C9" s="22" t="s">
        <v>37</v>
      </c>
    </row>
    <row r="10" spans="1:3">
      <c r="A10" s="22">
        <v>2022</v>
      </c>
      <c r="B10" s="22">
        <v>1900</v>
      </c>
      <c r="C10" s="22" t="s">
        <v>38</v>
      </c>
    </row>
    <row r="11" spans="1:3">
      <c r="A11" s="22">
        <v>2023</v>
      </c>
      <c r="B11" s="22">
        <v>1820</v>
      </c>
      <c r="C11" s="22" t="s">
        <v>39</v>
      </c>
    </row>
    <row r="12" spans="1:3">
      <c r="A12" s="22">
        <v>2024</v>
      </c>
      <c r="B12" s="22">
        <v>1640</v>
      </c>
      <c r="C12" s="22" t="s">
        <v>40</v>
      </c>
    </row>
    <row r="13" spans="1:3">
      <c r="A13" s="22">
        <v>2025</v>
      </c>
      <c r="B13" s="22">
        <v>1480</v>
      </c>
      <c r="C13" s="22" t="s">
        <v>41</v>
      </c>
    </row>
    <row r="15" spans="1:3" ht="106.5">
      <c r="A15" s="29" t="s">
        <v>42</v>
      </c>
      <c r="B15" s="22"/>
      <c r="C15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23"/>
  <sheetViews>
    <sheetView workbookViewId="0">
      <selection activeCell="A3" sqref="A3"/>
    </sheetView>
  </sheetViews>
  <sheetFormatPr defaultRowHeight="15"/>
  <cols>
    <col min="1" max="1" width="13.42578125" style="22" bestFit="1" customWidth="1"/>
    <col min="2" max="2" width="18.7109375" style="22" bestFit="1" customWidth="1"/>
  </cols>
  <sheetData>
    <row r="3" spans="1:2">
      <c r="A3" s="10" t="s">
        <v>43</v>
      </c>
      <c r="B3" s="3"/>
    </row>
    <row r="4" spans="1:2">
      <c r="A4" s="3"/>
      <c r="B4" s="3"/>
    </row>
    <row r="5" spans="1:2">
      <c r="A5" s="3" t="s">
        <v>19</v>
      </c>
      <c r="B5" s="3" t="s">
        <v>21</v>
      </c>
    </row>
    <row r="6" spans="1:2">
      <c r="A6" s="3">
        <v>2019</v>
      </c>
      <c r="B6" s="3">
        <v>0.31</v>
      </c>
    </row>
    <row r="7" spans="1:2">
      <c r="A7" s="3">
        <v>2020</v>
      </c>
      <c r="B7" s="3">
        <v>0.31</v>
      </c>
    </row>
    <row r="8" spans="1:2">
      <c r="A8" s="3">
        <v>2021</v>
      </c>
      <c r="B8" s="3">
        <v>0.28999999999999998</v>
      </c>
    </row>
    <row r="9" spans="1:2">
      <c r="A9" s="3">
        <v>2022</v>
      </c>
      <c r="B9" s="3">
        <v>0.26</v>
      </c>
    </row>
    <row r="10" spans="1:2">
      <c r="A10" s="3">
        <v>2023</v>
      </c>
      <c r="B10" s="3">
        <v>0.26</v>
      </c>
    </row>
    <row r="11" spans="1:2">
      <c r="A11" s="3">
        <v>2024</v>
      </c>
      <c r="B11" s="3">
        <v>0.24</v>
      </c>
    </row>
    <row r="12" spans="1:2">
      <c r="A12" s="3">
        <v>2025</v>
      </c>
      <c r="B12" s="3">
        <v>0.23</v>
      </c>
    </row>
    <row r="13" spans="1:2">
      <c r="A13" s="3"/>
      <c r="B13" s="3"/>
    </row>
    <row r="14" spans="1:2">
      <c r="A14" s="10" t="s">
        <v>44</v>
      </c>
      <c r="B14" s="3"/>
    </row>
    <row r="15" spans="1:2">
      <c r="A15" s="3"/>
      <c r="B15" s="3"/>
    </row>
    <row r="16" spans="1:2">
      <c r="A16" s="3" t="s">
        <v>19</v>
      </c>
      <c r="B16" s="3" t="s">
        <v>23</v>
      </c>
    </row>
    <row r="17" spans="1:2">
      <c r="A17" s="3">
        <v>2019</v>
      </c>
      <c r="B17" s="3">
        <v>-9.1</v>
      </c>
    </row>
    <row r="18" spans="1:2">
      <c r="A18" s="3">
        <v>2020</v>
      </c>
      <c r="B18" s="3">
        <v>-4.4000000000000004</v>
      </c>
    </row>
    <row r="19" spans="1:2">
      <c r="A19" s="3">
        <v>2021</v>
      </c>
      <c r="B19" s="3">
        <v>-3.9</v>
      </c>
    </row>
    <row r="20" spans="1:2">
      <c r="A20" s="3">
        <v>2022</v>
      </c>
      <c r="B20" s="3">
        <v>0.8</v>
      </c>
    </row>
    <row r="21" spans="1:2">
      <c r="A21" s="3">
        <v>2023</v>
      </c>
      <c r="B21" s="3">
        <v>0.4</v>
      </c>
    </row>
    <row r="22" spans="1:2">
      <c r="A22" s="3">
        <v>2024</v>
      </c>
      <c r="B22" s="3">
        <v>0.7</v>
      </c>
    </row>
    <row r="23" spans="1:2">
      <c r="A23" s="3">
        <v>2025</v>
      </c>
      <c r="B23" s="3">
        <v>-1.9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12"/>
  <sheetViews>
    <sheetView workbookViewId="0">
      <selection activeCell="A13" sqref="A13"/>
    </sheetView>
  </sheetViews>
  <sheetFormatPr defaultRowHeight="15"/>
  <cols>
    <col min="1" max="1" width="31.28515625" style="22" bestFit="1" customWidth="1"/>
    <col min="5" max="5" width="14.5703125" style="22" bestFit="1" customWidth="1"/>
    <col min="7" max="7" width="30.42578125" style="22" bestFit="1" customWidth="1"/>
    <col min="8" max="9" width="14.85546875" style="22" bestFit="1" customWidth="1"/>
  </cols>
  <sheetData>
    <row r="3" spans="1:10" ht="18.75" customHeight="1">
      <c r="A3" s="11" t="s">
        <v>45</v>
      </c>
      <c r="B3" s="22"/>
      <c r="C3" s="22"/>
      <c r="D3" s="22"/>
      <c r="F3" s="22"/>
      <c r="J3" s="22"/>
    </row>
    <row r="4" spans="1:10">
      <c r="B4" s="22"/>
      <c r="C4" s="22"/>
      <c r="D4" s="22"/>
      <c r="F4" s="22"/>
      <c r="H4" s="3" t="s">
        <v>46</v>
      </c>
      <c r="J4" s="3" t="s">
        <v>47</v>
      </c>
    </row>
    <row r="5" spans="1:10">
      <c r="A5" s="21" t="s">
        <v>48</v>
      </c>
      <c r="B5" s="21" t="s">
        <v>47</v>
      </c>
      <c r="C5" s="21" t="s">
        <v>49</v>
      </c>
      <c r="D5" s="21" t="s">
        <v>50</v>
      </c>
      <c r="E5" s="21" t="s">
        <v>51</v>
      </c>
      <c r="F5" s="21" t="s">
        <v>52</v>
      </c>
      <c r="G5" s="21" t="s">
        <v>30</v>
      </c>
      <c r="J5" s="22"/>
    </row>
    <row r="6" spans="1:10">
      <c r="A6" s="3" t="s">
        <v>53</v>
      </c>
      <c r="B6" s="3">
        <v>0.5</v>
      </c>
      <c r="C6" s="3">
        <v>0.35</v>
      </c>
      <c r="D6" s="3">
        <v>0.65</v>
      </c>
      <c r="E6" s="3">
        <f>IF($J$4="Bull",Table7[[#This Row],[Bull]],IF($J$4="Bear",Table7[[#This Row],[Bear]],Table7[[#This Row],[Base]]))</f>
        <v>0.5</v>
      </c>
      <c r="F6" s="3" t="s">
        <v>54</v>
      </c>
      <c r="G6" s="3" t="s">
        <v>55</v>
      </c>
      <c r="J6" s="22"/>
    </row>
    <row r="7" spans="1:10">
      <c r="A7" s="3" t="s">
        <v>56</v>
      </c>
      <c r="B7" s="3">
        <v>0</v>
      </c>
      <c r="C7" s="3">
        <v>0.2</v>
      </c>
      <c r="D7" s="3">
        <v>-0.25</v>
      </c>
      <c r="E7" s="3">
        <f>IF($J$4="Bull",Table7[[#This Row],[Bull]],IF($J$4="Bear",Table7[[#This Row],[Bear]],Table7[[#This Row],[Base]]))</f>
        <v>0</v>
      </c>
      <c r="F7" s="3" t="s">
        <v>54</v>
      </c>
      <c r="G7" s="3" t="s">
        <v>57</v>
      </c>
      <c r="J7" s="22"/>
    </row>
    <row r="8" spans="1:10">
      <c r="A8" s="3" t="s">
        <v>58</v>
      </c>
      <c r="B8" s="3">
        <v>0</v>
      </c>
      <c r="C8" s="3">
        <v>-0.05</v>
      </c>
      <c r="D8" s="3">
        <v>0.1</v>
      </c>
      <c r="E8" s="3">
        <f>IF($J$4="Bull",Table7[[#This Row],[Bull]],IF($J$4="Bear",Table7[[#This Row],[Bear]],Table7[[#This Row],[Base]]))</f>
        <v>0</v>
      </c>
      <c r="F8" s="3" t="s">
        <v>54</v>
      </c>
      <c r="G8" s="3" t="s">
        <v>59</v>
      </c>
      <c r="J8" s="22"/>
    </row>
    <row r="9" spans="1:10">
      <c r="A9" s="3" t="s">
        <v>60</v>
      </c>
      <c r="B9" s="3">
        <v>0</v>
      </c>
      <c r="C9" s="3">
        <v>-0.5</v>
      </c>
      <c r="D9" s="3">
        <v>0.5</v>
      </c>
      <c r="E9" s="3">
        <f>IF($J$4="Bull",Table7[[#This Row],[Bull]],IF($J$4="Bear",Table7[[#This Row],[Bear]],Table7[[#This Row],[Base]]))</f>
        <v>0</v>
      </c>
      <c r="F9" s="3" t="s">
        <v>61</v>
      </c>
      <c r="G9" s="3" t="s">
        <v>62</v>
      </c>
      <c r="J9" s="22"/>
    </row>
    <row r="11" spans="1:10">
      <c r="A11" s="27" t="s">
        <v>63</v>
      </c>
      <c r="B11" s="22"/>
      <c r="C11" s="22"/>
      <c r="D11" s="22"/>
      <c r="F11" s="22"/>
      <c r="J11" s="22"/>
    </row>
    <row r="12" spans="1:10" ht="137.25">
      <c r="A12" s="28" t="s">
        <v>64</v>
      </c>
      <c r="B12" s="22"/>
      <c r="C12" s="22"/>
      <c r="D12" s="22"/>
      <c r="F12" s="22"/>
      <c r="J12" s="22"/>
    </row>
  </sheetData>
  <dataValidations count="1">
    <dataValidation type="list" allowBlank="1" showInputMessage="1" showErrorMessage="1" sqref="J4" xr:uid="{00000000-0002-0000-0700-000000000000}">
      <formula1>"Base,Bull,Bear"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showGridLines="0" tabSelected="1" topLeftCell="B1" workbookViewId="0">
      <selection activeCell="I1" sqref="I1"/>
    </sheetView>
  </sheetViews>
  <sheetFormatPr defaultRowHeight="15"/>
  <cols>
    <col min="1" max="1" width="32.85546875" style="22" bestFit="1" customWidth="1"/>
    <col min="2" max="2" width="36.5703125" style="22" bestFit="1" customWidth="1"/>
    <col min="4" max="4" width="29.5703125" style="22" bestFit="1" customWidth="1"/>
    <col min="5" max="5" width="17.7109375" style="22" bestFit="1" customWidth="1"/>
    <col min="8" max="8" width="16.28515625" style="22" bestFit="1" customWidth="1"/>
    <col min="9" max="9" width="19" style="22" bestFit="1" customWidth="1"/>
  </cols>
  <sheetData>
    <row r="1" spans="1:9">
      <c r="C1" s="22"/>
      <c r="F1" s="22"/>
      <c r="G1" s="22"/>
    </row>
    <row r="2" spans="1:9">
      <c r="A2" s="3" t="s">
        <v>65</v>
      </c>
      <c r="B2" s="23">
        <f t="array" ref="B2">LOOKUP(2,1/(calc_lookthrough_nav!A:A&lt;&gt;""),calc_lookthrough_nav!A:A)</f>
        <v>45747</v>
      </c>
      <c r="C2" s="22"/>
      <c r="D2" s="10" t="s">
        <v>66</v>
      </c>
      <c r="E2" s="3"/>
      <c r="F2" s="3"/>
      <c r="G2" s="3"/>
      <c r="H2" s="10" t="s">
        <v>67</v>
      </c>
      <c r="I2" s="10" t="s">
        <v>68</v>
      </c>
    </row>
    <row r="3" spans="1:9">
      <c r="A3" s="3" t="s">
        <v>69</v>
      </c>
      <c r="B3" s="14">
        <f>_xlfn.XLOOKUP(B2,calc_lookthrough_nav!A:A,calc_lookthrough_nav!K:K)</f>
        <v>2453.0988023499999</v>
      </c>
      <c r="C3" s="22"/>
      <c r="D3" s="10"/>
      <c r="E3" s="10"/>
      <c r="F3" s="10"/>
      <c r="G3" s="10"/>
      <c r="H3" s="18">
        <f>B8</f>
        <v>0.65671259584274599</v>
      </c>
      <c r="I3" s="6">
        <f>B4</f>
        <v>842.11792000000003</v>
      </c>
    </row>
    <row r="4" spans="1:9">
      <c r="A4" s="3" t="s">
        <v>70</v>
      </c>
      <c r="B4" s="14">
        <f>_xlfn.XLOOKUP(B2,calc_lookthrough_nav!A:A,calc_lookthrough_nav!L:L)</f>
        <v>842.11792000000003</v>
      </c>
      <c r="C4" s="22"/>
      <c r="D4" s="10" t="s">
        <v>71</v>
      </c>
      <c r="E4" s="10" t="s">
        <v>47</v>
      </c>
      <c r="F4" s="10" t="s">
        <v>49</v>
      </c>
      <c r="G4" s="10" t="s">
        <v>50</v>
      </c>
    </row>
    <row r="5" spans="1:9">
      <c r="A5" s="3" t="s">
        <v>72</v>
      </c>
      <c r="B5" s="17">
        <f>_xlfn.XLOOKUP("Target_Holding_Discount_%",assumptions_core!A:A,assumptions_core!E:E)</f>
        <v>0.5</v>
      </c>
      <c r="C5" s="22"/>
      <c r="D5" s="3" t="s">
        <v>73</v>
      </c>
      <c r="E5" s="18">
        <f>_xlfn.XLOOKUP("Target_Holding_Discount_%",assumptions_core!A:A,assumptions_core!B:B)</f>
        <v>0.5</v>
      </c>
      <c r="F5" s="18">
        <f>_xlfn.XLOOKUP("Target_Holding_Discount_%",assumptions_core!A:A,assumptions_core!C:C)</f>
        <v>0.35</v>
      </c>
      <c r="G5" s="18">
        <f>_xlfn.XLOOKUP("Target_Holding_Discount_%",assumptions_core!A:A,assumptions_core!D:D)</f>
        <v>0.65</v>
      </c>
    </row>
    <row r="6" spans="1:9">
      <c r="A6" s="3" t="s">
        <v>74</v>
      </c>
      <c r="B6" s="6">
        <f>B3*(1-B5)</f>
        <v>1226.549401175</v>
      </c>
      <c r="C6" s="22"/>
      <c r="D6" s="3" t="s">
        <v>75</v>
      </c>
      <c r="E6" s="6">
        <f>$B$3*(1-E5)</f>
        <v>1226.549401175</v>
      </c>
      <c r="F6" s="6">
        <f>$B$3*(1-F5)</f>
        <v>1594.5142215275</v>
      </c>
      <c r="G6" s="6">
        <f>$B$3*(1-G5)</f>
        <v>858.5845808224999</v>
      </c>
    </row>
    <row r="7" spans="1:9">
      <c r="A7" s="3" t="s">
        <v>76</v>
      </c>
      <c r="B7" s="18">
        <f>(B6/B4)-1</f>
        <v>0.45650552261730737</v>
      </c>
      <c r="C7" s="22"/>
      <c r="D7" s="3" t="s">
        <v>77</v>
      </c>
      <c r="E7" s="18">
        <f>(E6/$B$4)-1</f>
        <v>0.45650552261730737</v>
      </c>
      <c r="F7" s="18">
        <f>(F6/$B$4)-1</f>
        <v>0.89345717940249969</v>
      </c>
      <c r="G7" s="18">
        <f>(G6/$B$4)-1</f>
        <v>1.9553865832115047E-2</v>
      </c>
    </row>
    <row r="8" spans="1:9">
      <c r="A8" s="3" t="s">
        <v>78</v>
      </c>
      <c r="B8" s="18">
        <f>1-(B4/B3)</f>
        <v>0.65671259584274599</v>
      </c>
      <c r="C8" s="22"/>
      <c r="D8" s="3" t="s">
        <v>79</v>
      </c>
      <c r="E8" s="6">
        <f t="array" ref="E8">E6 / LOOKUP(2,1/(tbl_naspers_price_data[Shares Outstanding (B)]&lt;&gt;""),tbl_naspers_price_data[Shares Outstanding (B)])</f>
        <v>1316.0401300160943</v>
      </c>
      <c r="F8" s="6">
        <f>F6 / _xlfn.XLOOKUP($B$2,tbl_naspers_price_data[Date],tbl_naspers_price_data[Shares Outstanding (B)])</f>
        <v>1710.8521690209227</v>
      </c>
      <c r="G8" s="6">
        <f>G6 / _xlfn.XLOOKUP($B$2,tbl_naspers_price_data[Date],tbl_naspers_price_data[Shares Outstanding (B)])</f>
        <v>921.22809101126597</v>
      </c>
    </row>
    <row r="9" spans="1:9">
      <c r="A9" s="3" t="s">
        <v>80</v>
      </c>
      <c r="B9" s="18">
        <f>B8-B5</f>
        <v>0.15671259584274599</v>
      </c>
      <c r="C9" s="22"/>
      <c r="F9" s="22"/>
      <c r="G9" s="22"/>
    </row>
    <row r="10" spans="1:9">
      <c r="C10" s="22"/>
      <c r="F10" s="22"/>
      <c r="G10" s="22"/>
    </row>
    <row r="11" spans="1:9">
      <c r="C11" s="22"/>
      <c r="D11" s="10" t="s">
        <v>81</v>
      </c>
      <c r="E11" s="3"/>
      <c r="F11" s="22"/>
      <c r="G11" s="22"/>
    </row>
    <row r="12" spans="1:9">
      <c r="C12" s="22"/>
      <c r="D12" s="3"/>
      <c r="E12" s="3"/>
      <c r="F12" s="22"/>
      <c r="G12" s="22"/>
    </row>
    <row r="13" spans="1:9">
      <c r="C13" s="22"/>
      <c r="D13" s="3" t="s">
        <v>82</v>
      </c>
      <c r="E13" s="3" t="s">
        <v>79</v>
      </c>
      <c r="F13" s="22"/>
      <c r="G13" s="22"/>
    </row>
    <row r="14" spans="1:9">
      <c r="C14" s="22"/>
      <c r="D14" s="24">
        <v>0.3</v>
      </c>
      <c r="E14" s="6">
        <f>($B$3*(1-D14)) / _xlfn.XLOOKUP($B$2,tbl_naspers_price_data[Date],tbl_naspers_price_data[Shares Outstanding (B)])</f>
        <v>1842.4561820225319</v>
      </c>
      <c r="F14" s="22"/>
      <c r="G14" s="22"/>
    </row>
    <row r="15" spans="1:9">
      <c r="C15" s="22"/>
      <c r="D15" s="24">
        <v>0.35</v>
      </c>
      <c r="E15" s="6">
        <f>($B$3*(1-D15)) / _xlfn.XLOOKUP($B$2,tbl_naspers_price_data[Date],tbl_naspers_price_data[Shares Outstanding (B)])</f>
        <v>1710.8521690209227</v>
      </c>
      <c r="F15" s="22"/>
      <c r="G15" s="22"/>
    </row>
    <row r="16" spans="1:9">
      <c r="C16" s="22"/>
      <c r="D16" s="24">
        <v>0.4</v>
      </c>
      <c r="E16" s="6">
        <f>($B$3*(1-D16)) / _xlfn.XLOOKUP($B$2,tbl_naspers_price_data[Date],tbl_naspers_price_data[Shares Outstanding (B)])</f>
        <v>1579.2481560193132</v>
      </c>
      <c r="F16" s="22"/>
      <c r="G16" s="22"/>
    </row>
    <row r="17" spans="4:5">
      <c r="D17" s="24">
        <v>0.45</v>
      </c>
      <c r="E17" s="6">
        <f>($B$3*(1-D17)) / _xlfn.XLOOKUP($B$2,tbl_naspers_price_data[Date],tbl_naspers_price_data[Shares Outstanding (B)])</f>
        <v>1447.6441430177038</v>
      </c>
    </row>
    <row r="18" spans="4:5">
      <c r="D18" s="24">
        <v>0.5</v>
      </c>
      <c r="E18" s="6">
        <f>($B$3*(1-D18)) / _xlfn.XLOOKUP($B$2,tbl_naspers_price_data[Date],tbl_naspers_price_data[Shares Outstanding (B)])</f>
        <v>1316.0401300160943</v>
      </c>
    </row>
    <row r="19" spans="4:5">
      <c r="D19" s="24">
        <v>0.55000000000000004</v>
      </c>
      <c r="E19" s="6">
        <f>($B$3*(1-D19)) / _xlfn.XLOOKUP($B$2,tbl_naspers_price_data[Date],tbl_naspers_price_data[Shares Outstanding (B)])</f>
        <v>1184.4361170144848</v>
      </c>
    </row>
    <row r="20" spans="4:5">
      <c r="D20" s="24">
        <v>0.6</v>
      </c>
      <c r="E20" s="6">
        <f>($B$3*(1-D20)) / _xlfn.XLOOKUP($B$2,tbl_naspers_price_data[Date],tbl_naspers_price_data[Shares Outstanding (B)])</f>
        <v>1052.8321040128756</v>
      </c>
    </row>
    <row r="21" spans="4:5">
      <c r="D21" s="24">
        <v>0.65</v>
      </c>
      <c r="E21" s="6">
        <f>($B$3*(1-D21)) / _xlfn.XLOOKUP($B$2,tbl_naspers_price_data[Date],tbl_naspers_price_data[Shares Outstanding (B)])</f>
        <v>921.22809101126597</v>
      </c>
    </row>
    <row r="22" spans="4:5">
      <c r="D22" s="24">
        <v>0.7</v>
      </c>
      <c r="E22" s="6">
        <f>($B$3*(1-D22)) / _xlfn.XLOOKUP($B$2,tbl_naspers_price_data[Date],tbl_naspers_price_data[Shares Outstanding (B)])</f>
        <v>789.62407800965673</v>
      </c>
    </row>
    <row r="33" spans="1:4">
      <c r="C33" s="22"/>
    </row>
    <row r="34" spans="1:4">
      <c r="C34" s="22"/>
    </row>
    <row r="35" spans="1:4">
      <c r="C35" s="22"/>
    </row>
    <row r="36" spans="1:4">
      <c r="C36" s="22"/>
    </row>
    <row r="37" spans="1:4">
      <c r="C37" s="22"/>
    </row>
    <row r="38" spans="1:4">
      <c r="C38" s="22"/>
      <c r="D38" s="10" t="s">
        <v>83</v>
      </c>
    </row>
    <row r="39" spans="1:4">
      <c r="C39" s="22"/>
      <c r="D39" s="3" t="s">
        <v>84</v>
      </c>
    </row>
    <row r="40" spans="1:4">
      <c r="C40" s="22"/>
      <c r="D40" s="3" t="s">
        <v>85</v>
      </c>
    </row>
    <row r="41" spans="1:4">
      <c r="C41" s="22"/>
      <c r="D41" s="3" t="s">
        <v>86</v>
      </c>
    </row>
    <row r="42" spans="1:4">
      <c r="C42" s="22"/>
      <c r="D42" s="3" t="s">
        <v>87</v>
      </c>
    </row>
    <row r="44" spans="1:4">
      <c r="A44" s="30" t="s">
        <v>88</v>
      </c>
      <c r="C44" s="22"/>
    </row>
    <row r="45" spans="1:4">
      <c r="A45" s="31" t="s">
        <v>89</v>
      </c>
      <c r="C45" s="22"/>
    </row>
    <row r="47" spans="1:4">
      <c r="A47" s="27" t="s">
        <v>90</v>
      </c>
      <c r="C47" s="22"/>
    </row>
    <row r="48" spans="1:4">
      <c r="A48" s="28" t="s">
        <v>91</v>
      </c>
      <c r="C48" s="2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38"/>
  <sheetViews>
    <sheetView topLeftCell="A17" workbookViewId="0">
      <selection activeCell="A20" sqref="A20"/>
    </sheetView>
  </sheetViews>
  <sheetFormatPr defaultRowHeight="15"/>
  <cols>
    <col min="1" max="1" width="36.5703125" style="22" bestFit="1" customWidth="1"/>
  </cols>
  <sheetData>
    <row r="3" spans="1:1" ht="39.75" customHeight="1">
      <c r="A3" s="25" t="s">
        <v>92</v>
      </c>
    </row>
    <row r="4" spans="1:1">
      <c r="A4" s="3"/>
    </row>
    <row r="5" spans="1:1">
      <c r="A5" s="3"/>
    </row>
    <row r="6" spans="1:1" ht="15.75" customHeight="1">
      <c r="A6" s="26" t="s">
        <v>93</v>
      </c>
    </row>
    <row r="7" spans="1:1">
      <c r="A7" s="3"/>
    </row>
    <row r="8" spans="1:1" ht="29.25" customHeight="1">
      <c r="A8" s="1" t="s">
        <v>94</v>
      </c>
    </row>
    <row r="9" spans="1:1">
      <c r="A9" s="3"/>
    </row>
    <row r="10" spans="1:1" ht="15.75" customHeight="1">
      <c r="A10" s="26" t="s">
        <v>95</v>
      </c>
    </row>
    <row r="11" spans="1:1">
      <c r="A11" s="3"/>
    </row>
    <row r="12" spans="1:1">
      <c r="A12" s="3" t="s">
        <v>96</v>
      </c>
    </row>
    <row r="13" spans="1:1">
      <c r="A13" s="3" t="s">
        <v>97</v>
      </c>
    </row>
    <row r="14" spans="1:1">
      <c r="A14" s="3" t="s">
        <v>98</v>
      </c>
    </row>
    <row r="15" spans="1:1" ht="246">
      <c r="A15" s="31" t="s">
        <v>99</v>
      </c>
    </row>
    <row r="16" spans="1:1" ht="246">
      <c r="A16" s="31" t="s">
        <v>99</v>
      </c>
    </row>
    <row r="17" spans="1:1" ht="246">
      <c r="A17" s="31" t="s">
        <v>99</v>
      </c>
    </row>
    <row r="18" spans="1:1" ht="15.75" customHeight="1">
      <c r="A18" s="31" t="s">
        <v>99</v>
      </c>
    </row>
    <row r="19" spans="1:1">
      <c r="A19" s="31" t="s">
        <v>99</v>
      </c>
    </row>
    <row r="20" spans="1:1">
      <c r="A20" s="31" t="s">
        <v>99</v>
      </c>
    </row>
    <row r="21" spans="1:1">
      <c r="A21" s="31" t="s">
        <v>99</v>
      </c>
    </row>
    <row r="22" spans="1:1">
      <c r="A22" s="31" t="s">
        <v>99</v>
      </c>
    </row>
    <row r="23" spans="1:1" ht="29.25" customHeight="1">
      <c r="A23" s="31" t="s">
        <v>99</v>
      </c>
    </row>
    <row r="24" spans="1:1">
      <c r="A24" s="31" t="s">
        <v>99</v>
      </c>
    </row>
    <row r="25" spans="1:1" ht="15.75" customHeight="1">
      <c r="A25" s="31" t="s">
        <v>99</v>
      </c>
    </row>
    <row r="26" spans="1:1">
      <c r="A26" s="31" t="s">
        <v>99</v>
      </c>
    </row>
    <row r="27" spans="1:1">
      <c r="A27" s="31" t="s">
        <v>99</v>
      </c>
    </row>
    <row r="28" spans="1:1">
      <c r="A28" s="31" t="s">
        <v>99</v>
      </c>
    </row>
    <row r="29" spans="1:1">
      <c r="A29" s="31" t="s">
        <v>99</v>
      </c>
    </row>
    <row r="30" spans="1:1">
      <c r="A30" s="31" t="s">
        <v>99</v>
      </c>
    </row>
    <row r="31" spans="1:1">
      <c r="A31" s="31" t="s">
        <v>99</v>
      </c>
    </row>
    <row r="32" spans="1:1" ht="15.75" customHeight="1">
      <c r="A32" s="31" t="s">
        <v>99</v>
      </c>
    </row>
    <row r="33" spans="1:1">
      <c r="A33" s="31" t="s">
        <v>99</v>
      </c>
    </row>
    <row r="34" spans="1:1">
      <c r="A34" s="31" t="s">
        <v>99</v>
      </c>
    </row>
    <row r="35" spans="1:1">
      <c r="A35" s="31" t="s">
        <v>99</v>
      </c>
    </row>
    <row r="36" spans="1:1">
      <c r="A36" s="31" t="s">
        <v>99</v>
      </c>
    </row>
    <row r="37" spans="1:1">
      <c r="A37" s="31" t="s">
        <v>99</v>
      </c>
    </row>
    <row r="38" spans="1:1">
      <c r="A38" s="3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2026-02-17T12:18:48Z</dcterms:created>
  <dcterms:modified xsi:type="dcterms:W3CDTF">2026-02-22T16:05:02Z</dcterms:modified>
  <cp:category/>
  <cp:contentStatus/>
</cp:coreProperties>
</file>