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xr:revisionPtr revIDLastSave="0" documentId="8_{F6A6C434-6AF0-4D4F-B6BA-BC25395CEC2C}" xr6:coauthVersionLast="47" xr6:coauthVersionMax="47" xr10:uidLastSave="{00000000-0000-0000-0000-000000000000}"/>
  <bookViews>
    <workbookView xWindow="0" yWindow="0" windowWidth="0" windowHeight="0" firstSheet="11" activeTab="9" xr2:uid="{00000000-000D-0000-FFFF-FFFF00000000}"/>
  </bookViews>
  <sheets>
    <sheet name="00_control" sheetId="1" r:id="rId1"/>
    <sheet name="01_Raw_IS" sheetId="2" r:id="rId2"/>
    <sheet name="02_Raw_BS" sheetId="3" r:id="rId3"/>
    <sheet name="03_Raw_CF" sheetId="4" r:id="rId4"/>
    <sheet name="04_Clean_IS" sheetId="5" r:id="rId5"/>
    <sheet name="05_Clean_BS" sheetId="6" r:id="rId6"/>
    <sheet name="06_Clean_CF" sheetId="7" r:id="rId7"/>
    <sheet name="07_Ratios" sheetId="9" r:id="rId8"/>
    <sheet name="08_Trends" sheetId="8" r:id="rId9"/>
    <sheet name="09_Dashboard" sheetId="13" r:id="rId10"/>
    <sheet name="10_Executive_Memo" sheetId="11" r:id="rId11"/>
    <sheet name="99_Definitions"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q4p1YTk1Nd1ouvg5093BaUdgzH4g1uQVxP58gq2ETDA="/>
    </ext>
  </extLst>
</workbook>
</file>

<file path=xl/calcChain.xml><?xml version="1.0" encoding="utf-8"?>
<calcChain xmlns="http://schemas.openxmlformats.org/spreadsheetml/2006/main">
  <c r="D20" i="7" l="1"/>
  <c r="C20" i="7"/>
  <c r="B20" i="7"/>
  <c r="D18" i="7"/>
  <c r="D19" i="7" s="1"/>
  <c r="C18" i="7"/>
  <c r="C19" i="7" s="1"/>
  <c r="B18" i="7"/>
  <c r="B19" i="7" s="1"/>
  <c r="D17" i="7"/>
  <c r="C17" i="7"/>
  <c r="B17" i="7"/>
  <c r="D11" i="7"/>
  <c r="C11" i="7"/>
  <c r="B11" i="7"/>
  <c r="D7" i="7"/>
  <c r="C7" i="7"/>
  <c r="B7" i="7"/>
  <c r="D34" i="6"/>
  <c r="C34" i="6"/>
  <c r="B34" i="6"/>
  <c r="D27" i="6"/>
  <c r="D33" i="6" s="1"/>
  <c r="C27" i="6"/>
  <c r="C33" i="6" s="1"/>
  <c r="B27" i="6"/>
  <c r="B33" i="6" s="1"/>
  <c r="D20" i="6"/>
  <c r="C20" i="6"/>
  <c r="B20" i="6"/>
  <c r="D15" i="6"/>
  <c r="D10" i="8" s="1"/>
  <c r="C15" i="6"/>
  <c r="C10" i="8" s="1"/>
  <c r="B15" i="6"/>
  <c r="B10" i="8" s="1"/>
  <c r="D7" i="6"/>
  <c r="C7" i="6"/>
  <c r="B7" i="6"/>
  <c r="D5" i="6"/>
  <c r="C5" i="6"/>
  <c r="B5" i="6"/>
  <c r="D3" i="6"/>
  <c r="D10" i="9" s="1"/>
  <c r="C3" i="6"/>
  <c r="C10" i="9" s="1"/>
  <c r="B3" i="6"/>
  <c r="B10" i="9" s="1"/>
  <c r="D12" i="5"/>
  <c r="C12" i="5"/>
  <c r="B12" i="5"/>
  <c r="D9" i="5"/>
  <c r="C9" i="5"/>
  <c r="B9" i="5"/>
  <c r="D7" i="5"/>
  <c r="C7" i="5"/>
  <c r="B7" i="5"/>
  <c r="D4" i="5"/>
  <c r="C4" i="5"/>
  <c r="B4" i="5"/>
  <c r="D3" i="5"/>
  <c r="D5" i="5" s="1"/>
  <c r="C3" i="5"/>
  <c r="C5" i="5" s="1"/>
  <c r="B3" i="5"/>
  <c r="B5" i="5" s="1"/>
  <c r="D2" i="5"/>
  <c r="D2" i="8" s="1"/>
  <c r="C2" i="5"/>
  <c r="C2" i="8" s="1"/>
  <c r="B2" i="5"/>
  <c r="B2" i="8" s="1"/>
  <c r="B6" i="11" s="1"/>
  <c r="C6" i="11" l="1"/>
  <c r="E2" i="8"/>
  <c r="D6" i="11"/>
  <c r="F2" i="8"/>
  <c r="B3" i="8"/>
  <c r="B6" i="5"/>
  <c r="C3" i="8"/>
  <c r="E3" i="8" s="1"/>
  <c r="C6" i="5"/>
  <c r="D3" i="8"/>
  <c r="F3" i="8" s="1"/>
  <c r="D6" i="5"/>
  <c r="B4" i="8"/>
  <c r="B7" i="11" s="1"/>
  <c r="B11" i="5"/>
  <c r="B13" i="5" s="1"/>
  <c r="B8" i="5"/>
  <c r="C4" i="8"/>
  <c r="C11" i="5"/>
  <c r="C13" i="5" s="1"/>
  <c r="C8" i="5"/>
  <c r="D4" i="8"/>
  <c r="D11" i="5"/>
  <c r="D13" i="5" s="1"/>
  <c r="D8" i="5"/>
  <c r="B9" i="9"/>
  <c r="B20" i="8" s="1"/>
  <c r="B14" i="6"/>
  <c r="C9" i="9"/>
  <c r="C20" i="8" s="1"/>
  <c r="E20" i="8" s="1"/>
  <c r="C14" i="6"/>
  <c r="D9" i="9"/>
  <c r="D20" i="8" s="1"/>
  <c r="D14" i="6"/>
  <c r="E10" i="8"/>
  <c r="F10" i="8"/>
  <c r="B11" i="8"/>
  <c r="B35" i="6"/>
  <c r="C11" i="8"/>
  <c r="E11" i="8" s="1"/>
  <c r="C35" i="6"/>
  <c r="D11" i="8"/>
  <c r="F11" i="8" s="1"/>
  <c r="D35" i="6"/>
  <c r="B13" i="9"/>
  <c r="B12" i="9"/>
  <c r="B21" i="8" s="1"/>
  <c r="B12" i="8"/>
  <c r="C13" i="9"/>
  <c r="C12" i="9"/>
  <c r="C21" i="8" s="1"/>
  <c r="E21" i="8" s="1"/>
  <c r="C12" i="8"/>
  <c r="E12" i="8" s="1"/>
  <c r="D13" i="9"/>
  <c r="D12" i="9"/>
  <c r="D21" i="8" s="1"/>
  <c r="F21" i="8" s="1"/>
  <c r="D12" i="8"/>
  <c r="F12" i="8" s="1"/>
  <c r="B16" i="9"/>
  <c r="B15" i="9"/>
  <c r="B22" i="8" s="1"/>
  <c r="B14" i="8"/>
  <c r="B11" i="11" s="1"/>
  <c r="C16" i="9"/>
  <c r="C15" i="9"/>
  <c r="C22" i="8" s="1"/>
  <c r="E22" i="8" s="1"/>
  <c r="C14" i="8"/>
  <c r="D16" i="9"/>
  <c r="D15" i="9"/>
  <c r="D22" i="8" s="1"/>
  <c r="D14" i="8"/>
  <c r="D11" i="11" l="1"/>
  <c r="F14" i="8"/>
  <c r="F22" i="8"/>
  <c r="C11" i="11"/>
  <c r="E14" i="8"/>
  <c r="F20" i="8"/>
  <c r="D3" i="9"/>
  <c r="D7" i="8"/>
  <c r="D7" i="9"/>
  <c r="D19" i="8" s="1"/>
  <c r="D6" i="9"/>
  <c r="D18" i="8" s="1"/>
  <c r="D5" i="8"/>
  <c r="D14" i="5"/>
  <c r="D7" i="11"/>
  <c r="F4" i="8"/>
  <c r="C3" i="9"/>
  <c r="C7" i="8"/>
  <c r="C7" i="9"/>
  <c r="C19" i="8" s="1"/>
  <c r="C6" i="9"/>
  <c r="C18" i="8" s="1"/>
  <c r="C5" i="8"/>
  <c r="C14" i="5"/>
  <c r="C7" i="11"/>
  <c r="E4" i="8"/>
  <c r="B3" i="9"/>
  <c r="B7" i="8"/>
  <c r="B9" i="11" s="1"/>
  <c r="B7" i="9"/>
  <c r="B19" i="8" s="1"/>
  <c r="B10" i="11" s="1"/>
  <c r="B6" i="9"/>
  <c r="B18" i="8" s="1"/>
  <c r="B5" i="8"/>
  <c r="B8" i="11" s="1"/>
  <c r="B14" i="5"/>
  <c r="D2" i="9"/>
  <c r="D6" i="8"/>
  <c r="C2" i="9"/>
  <c r="C6" i="8"/>
  <c r="B2" i="9"/>
  <c r="B6" i="8"/>
  <c r="E6" i="8" l="1"/>
  <c r="F6" i="8"/>
  <c r="B4" i="9"/>
  <c r="B8" i="8"/>
  <c r="C4" i="9"/>
  <c r="C8" i="8"/>
  <c r="E8" i="8" s="1"/>
  <c r="C8" i="11"/>
  <c r="E5" i="8"/>
  <c r="E18" i="8"/>
  <c r="C10" i="11"/>
  <c r="E19" i="8"/>
  <c r="C9" i="11"/>
  <c r="E7" i="8"/>
  <c r="D4" i="9"/>
  <c r="D8" i="8"/>
  <c r="F8" i="8" s="1"/>
  <c r="D8" i="11"/>
  <c r="F5" i="8"/>
  <c r="F18" i="8"/>
  <c r="D10" i="11"/>
  <c r="F19" i="8"/>
  <c r="D9" i="11"/>
  <c r="F7" i="8"/>
</calcChain>
</file>

<file path=xl/sharedStrings.xml><?xml version="1.0" encoding="utf-8"?>
<sst xmlns="http://schemas.openxmlformats.org/spreadsheetml/2006/main" count="247" uniqueCount="164">
  <si>
    <t>Reporting Currency</t>
  </si>
  <si>
    <t>ZAR</t>
  </si>
  <si>
    <t>Units</t>
  </si>
  <si>
    <t>R million</t>
  </si>
  <si>
    <t>Financial Years</t>
  </si>
  <si>
    <t>FY2023</t>
  </si>
  <si>
    <t>FY2024</t>
  </si>
  <si>
    <t>FY2025</t>
  </si>
  <si>
    <t>Line Item</t>
  </si>
  <si>
    <t>Revenue</t>
  </si>
  <si>
    <t>Sale of merchandise</t>
  </si>
  <si>
    <t>Cost of sales</t>
  </si>
  <si>
    <t>Gross profit</t>
  </si>
  <si>
    <t>Operating profit</t>
  </si>
  <si>
    <t>Net finance costs</t>
  </si>
  <si>
    <t>Profit before tax</t>
  </si>
  <si>
    <t>Income tax expense</t>
  </si>
  <si>
    <t>Profit after tax</t>
  </si>
  <si>
    <t>Total assets</t>
  </si>
  <si>
    <t>Current assets</t>
  </si>
  <si>
    <t>Cash and cash equivalents</t>
  </si>
  <si>
    <t>Inventory</t>
  </si>
  <si>
    <t>Total equity</t>
  </si>
  <si>
    <t>Total liabilities</t>
  </si>
  <si>
    <t>Current liabilities</t>
  </si>
  <si>
    <t>Interest-bearing borrowings</t>
  </si>
  <si>
    <t>Net cash from operating activities</t>
  </si>
  <si>
    <t>Net cash used in investing activities</t>
  </si>
  <si>
    <t>Net cash from financing activities</t>
  </si>
  <si>
    <t>Net increase / (decrease) in cash</t>
  </si>
  <si>
    <t>Gross margin %</t>
  </si>
  <si>
    <t>Operating margin %</t>
  </si>
  <si>
    <t>Finance costs</t>
  </si>
  <si>
    <t>Interest received</t>
  </si>
  <si>
    <t>Net margin %</t>
  </si>
  <si>
    <t>Trade and other receivables</t>
  </si>
  <si>
    <t>Inventories</t>
  </si>
  <si>
    <t>Other current assets</t>
  </si>
  <si>
    <t>Total current assets</t>
  </si>
  <si>
    <t>Non-current assets</t>
  </si>
  <si>
    <t>Property, plant and equipment</t>
  </si>
  <si>
    <t>Right-of-use assets</t>
  </si>
  <si>
    <t>Intangible assets</t>
  </si>
  <si>
    <t>Investments in associates</t>
  </si>
  <si>
    <t>Other non-current assets</t>
  </si>
  <si>
    <t>Total non-current assets</t>
  </si>
  <si>
    <t>Equity</t>
  </si>
  <si>
    <t>Share capital</t>
  </si>
  <si>
    <t>Retained earnings</t>
  </si>
  <si>
    <t>Other reserves</t>
  </si>
  <si>
    <t>Trade and other payables</t>
  </si>
  <si>
    <t>Borrowings (current)</t>
  </si>
  <si>
    <t>Lease liabilities (current)</t>
  </si>
  <si>
    <t>Provisions</t>
  </si>
  <si>
    <t>Other current liabilities</t>
  </si>
  <si>
    <t>Total current liabilities</t>
  </si>
  <si>
    <t>Non-current liabilities</t>
  </si>
  <si>
    <t>Borrowings (non-current)</t>
  </si>
  <si>
    <t>Lease liabilities (non-current)</t>
  </si>
  <si>
    <t>Deferred tax liabilities</t>
  </si>
  <si>
    <t>Other non-current liabilities</t>
  </si>
  <si>
    <t>Total non-current liabilities</t>
  </si>
  <si>
    <t>Total equity and liabilities</t>
  </si>
  <si>
    <t>Cash flows from operating activities</t>
  </si>
  <si>
    <t>Cash generated from operations</t>
  </si>
  <si>
    <t>Net working capital changes</t>
  </si>
  <si>
    <t>Cash generated from operations before tax</t>
  </si>
  <si>
    <t>Income tax paid</t>
  </si>
  <si>
    <t>Cash flows from investing activities</t>
  </si>
  <si>
    <t>Capital expenditure</t>
  </si>
  <si>
    <t>Other investing activities</t>
  </si>
  <si>
    <t>Cash flows from financing activities</t>
  </si>
  <si>
    <t>Proceeds from borrowings</t>
  </si>
  <si>
    <t>Repayment of borrowings</t>
  </si>
  <si>
    <t>Dividends paid</t>
  </si>
  <si>
    <t>Other financing activities</t>
  </si>
  <si>
    <t>Net change in cash</t>
  </si>
  <si>
    <t>Opening cash balance</t>
  </si>
  <si>
    <t>Closing cash balance</t>
  </si>
  <si>
    <t>Ratio</t>
  </si>
  <si>
    <t>Return on assets (ROA)</t>
  </si>
  <si>
    <t>Return on equity (ROE)</t>
  </si>
  <si>
    <t>Current ratio</t>
  </si>
  <si>
    <t>Cash ratio</t>
  </si>
  <si>
    <t>Debt to equity</t>
  </si>
  <si>
    <t>Debt to assets</t>
  </si>
  <si>
    <t>Operating cash flow margin</t>
  </si>
  <si>
    <t>Cash conversion (OCF / PAT)</t>
  </si>
  <si>
    <t>Free cash flow (Rm)</t>
  </si>
  <si>
    <t>FCF margin %</t>
  </si>
  <si>
    <t>FCF conversion (FCF / PAT)</t>
  </si>
  <si>
    <t>Metric</t>
  </si>
  <si>
    <t>YoY % (23 → 24)</t>
  </si>
  <si>
    <t>YoY % (24 → 25)</t>
  </si>
  <si>
    <t>Operating cash flow</t>
  </si>
  <si>
    <t>Free cash flow</t>
  </si>
  <si>
    <t>ROA</t>
  </si>
  <si>
    <t>ROE</t>
  </si>
  <si>
    <t>SHOPRITE HOLDINGS LIMITED — Financial Performance Dashboard FY2023–FY2025</t>
  </si>
  <si>
    <t>Prepared by: Shawn Sibanyoni  |  Date: 19 February 2026  |  Source: Shoprite Holdings AFS FY2023–FY2025</t>
  </si>
  <si>
    <t>Revenue
(FY2025)</t>
  </si>
  <si>
    <t>Operating
Margin (FY2025)</t>
  </si>
  <si>
    <t>ROE
(FY2025)</t>
  </si>
  <si>
    <t>FCF
(FY2025)</t>
  </si>
  <si>
    <t>FCF Margin
(FY2025)</t>
  </si>
  <si>
    <t>Current Ratio
(FY2025)</t>
  </si>
  <si>
    <t>R256,682m</t>
  </si>
  <si>
    <t>5.8%</t>
  </si>
  <si>
    <t>24.5%</t>
  </si>
  <si>
    <t>R3,619m</t>
  </si>
  <si>
    <t>1.4%</t>
  </si>
  <si>
    <t>1.19x</t>
  </si>
  <si>
    <t>Income Statement Summary (Rm)</t>
  </si>
  <si>
    <t>Gross Profit</t>
  </si>
  <si>
    <t>Gross Margin %</t>
  </si>
  <si>
    <t>Operating Profit</t>
  </si>
  <si>
    <t>Operating Margin %</t>
  </si>
  <si>
    <t>Profit After Tax</t>
  </si>
  <si>
    <t>Net Margin %</t>
  </si>
  <si>
    <t>Cash Flow Summary (Rm) — Key Correction</t>
  </si>
  <si>
    <t>Operating Cash Flow</t>
  </si>
  <si>
    <t>Capital Expenditure</t>
  </si>
  <si>
    <t>Free Cash Flow</t>
  </si>
  <si>
    <t>OCF Margin %</t>
  </si>
  <si>
    <t>FCF Margin %</t>
  </si>
  <si>
    <t>FCF Conversion (FCF/PAT)</t>
  </si>
  <si>
    <t>Cash Conversion (OCF/PAT)</t>
  </si>
  <si>
    <t>Note: FCF = OCF less Capex (net investing activities). Capex sourced from Shoprite AFS investing section. FCF ≠ OCF — previous versions incorrectly equated the two.</t>
  </si>
  <si>
    <t>Balance Sheet Summary (Rm)</t>
  </si>
  <si>
    <t>Total Assets</t>
  </si>
  <si>
    <t>Total Equity</t>
  </si>
  <si>
    <t>Total Liabilities</t>
  </si>
  <si>
    <t>Current Ratio</t>
  </si>
  <si>
    <t>Debt-to-Equity</t>
  </si>
  <si>
    <t>ROE %</t>
  </si>
  <si>
    <t>Executive Memo — Shoprite Holdings (FY2023–FY2025)</t>
  </si>
  <si>
    <t>Purpose: Summarise performance trends and highlight key drivers / risks</t>
  </si>
  <si>
    <t>Prepared by: Saun Sibanyoni | Date: 10 February 2026</t>
  </si>
  <si>
    <t>KPI</t>
  </si>
  <si>
    <t>Revenue (Rm)</t>
  </si>
  <si>
    <t>Operating profit (Rm)</t>
  </si>
  <si>
    <t>Profit after tax (Rm)</t>
  </si>
  <si>
    <t>Executive Summary (FY2023-FY2025)</t>
  </si>
  <si>
    <t>Shoprite delivered consistent top-line growth over FY2023-FY2025, with revenue increasing from R219,530m to R256,682m. While revenue growth moderated in FY2025 relative to FY2024, overall profitability remained resilient. Operating margins were maintained in the mid-5% range, and net margins remained broadly stable, reflecting disciplined cost control in a challenging retail environment.</t>
  </si>
  <si>
    <t>Revenue &amp; Profitability
Revenue growth decelerated from FY2024 to FY2025, consistent with scale effects as the business matures. Despite this moderation, gross margins remained stable in the low-to-mid 24% range, indicating effective pricing and cost management.
Operating profit increased from R12,344m in FY2023 to R14,943m in FY2025, supported by steady operating margin performance. Profit after tax rose from R6,320m to R7,392m, with net margins holding around ~3% and showing a modest recovery in FY2025.
Overall, profitability trends suggest a business transitioning from high-growth expansion toward efficiency, margin protection, and operational discipline.</t>
  </si>
  <si>
    <t>Cash Flow &amp; Earnings Quality
Operating cash flow strengthened significantly in FY2024, reaching R13,841m, before normalising to R10,984m in FY2025. This pattern indicates timing effects related to working capital movements, which are typical in large-scale retail operations.
Operating cash flow margin peaked in FY2024 before declining in FY2025, highlighting cash conversion volatility as a key variable. While earnings quality remains acceptable, sustained consistency between profit and cash generation warrants ongoing monitoring, particularly across inventory and supplier payment cycles.</t>
  </si>
  <si>
    <t>Balance Sheet &amp; Financial Position
Total assets expanded from R102,356m to R124,944m over the period, reflecting continued investment in the operating base. Total liabilities increased in parallel from R76,078m to R94,827m.
Liquidity tightened gradually, with the current ratio declining from 1.28 to 1.19, while leverage increased moderately, with debt-to-equity rising from 2.90 to 3.15. Although these movements are not immediately concerning, they indicate a reduced liquidity buffer and a higher reliance on efficient working capital management and cash flow discipline.</t>
  </si>
  <si>
    <t>Key Takeaways / Watch Items
- Growth remains healthy but is moderating, shifting management focus from expansion toward productivity, efficiency, and margin preservation.
- Margins are stable, suggesting strong cost control; however, sustainability should be assessed against inflationary pressures and competitive pricing dynamics.
- Cash conversion volatility is the primary swing factor, requiring deeper analysis of working capital drivers.
- Leverage and liquidity are tightening, reinforcing the importance of disciplined capital allocation and balance sheet management.</t>
  </si>
  <si>
    <t>Key Risks
- Working capital pressure and variability in cash conversion
- Margin compression from input cost inflation or heightened price competition
- Gradual tightening of liquidity as leverage increases</t>
  </si>
  <si>
    <t>Next Analysis Priorities
- Detailed working capital analysis (inventory, payables, receivables days)
- Store-level or segment productivity analysis (subject to data availability)
- Interest coverage and lease liability sensitivity analysis, given retail exposure</t>
  </si>
  <si>
    <t>Definitions &amp; Methodology Notes</t>
  </si>
  <si>
    <t>Free Cash Flow (FCF)</t>
  </si>
  <si>
    <t>Net Cash from Operating Activities minus Capital Expenditure (Net Investing Activities). Capex sourced from investing activities section of Shoprite AFS.</t>
  </si>
  <si>
    <t>Return on Equity (ROE)</t>
  </si>
  <si>
    <t>Profit After Tax / Total Equity. Note: PAT used (not headline earnings) for consistency with reported PAT. For SA comparisons, headline earnings ROE may differ marginally.</t>
  </si>
  <si>
    <t>Return on Assets (ROA)</t>
  </si>
  <si>
    <t>Profit After Tax / Total Assets</t>
  </si>
  <si>
    <t>Operating Cash Flow Margin</t>
  </si>
  <si>
    <t>Net Cash from Operating Activities / Revenue</t>
  </si>
  <si>
    <t>Cash Conversion (OCF / PAT)</t>
  </si>
  <si>
    <t>Measures quality of earnings — how much of reported profit converts to operating cash flow</t>
  </si>
  <si>
    <t>FCF Margin</t>
  </si>
  <si>
    <t>Free Cash Flow / Revenue</t>
  </si>
  <si>
    <t>Sourced from Net Cash Used in Investing Activities (Shoprite AFS). Represents primarily growth and maintenance capex.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</si>
</sst>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quot;x&quot;"/>
  </numFmts>
  <fonts count="15">
    <font>
      <sz val="11"/>
      <color theme="1"/>
      <name val="Calibri"/>
      <scheme val="minor"/>
    </font>
    <font>
      <b/>
      <sz val="11"/>
      <color theme="1"/>
      <name val="Aptos Narrow"/>
    </font>
    <font>
      <sz val="11"/>
      <color theme="1"/>
      <name val="Aptos Narrow"/>
    </font>
    <font>
      <sz val="11"/>
      <color theme="1"/>
      <name val="Calibri"/>
      <scheme val="minor"/>
    </font>
    <font>
      <b/>
      <sz val="14"/>
      <color rgb="FF000000"/>
      <name val="Aptos Narrow"/>
    </font>
    <font>
      <sz val="11"/>
      <color rgb="FF000000"/>
      <name val="Aptos Narrow"/>
    </font>
    <font>
      <b/>
      <sz val="14"/>
      <color theme="1"/>
      <name val="Aptos Narrow"/>
    </font>
    <font>
      <b/>
      <sz val="14"/>
      <color rgb="FFFFFFFF"/>
      <name val="Aptos Narrow"/>
    </font>
    <font>
      <i/>
      <sz val="9"/>
      <color rgb="FF595959"/>
      <name val="Aptos Narrow"/>
    </font>
    <font>
      <b/>
      <sz val="9"/>
      <color rgb="FFFFFFFF"/>
      <name val="Aptos Narrow"/>
    </font>
    <font>
      <b/>
      <sz val="13"/>
      <color rgb="FF1F3864"/>
      <name val="Aptos Narrow"/>
    </font>
    <font>
      <b/>
      <sz val="11"/>
      <color rgb="FFFFFFFF"/>
      <name val="Aptos Narrow"/>
    </font>
    <font>
      <b/>
      <sz val="10"/>
      <color rgb="FF000000"/>
      <name val="Aptos Narrow"/>
    </font>
    <font>
      <sz val="10"/>
      <color rgb="FF000000"/>
      <name val="Aptos Narrow"/>
    </font>
    <font>
      <b/>
      <sz val="10"/>
      <color rgb="FF2E75B6"/>
      <name val="Aptos Narrow"/>
    </font>
  </fonts>
  <fills count="10">
    <fill>
      <patternFill patternType="none"/>
    </fill>
    <fill>
      <patternFill patternType="gray125"/>
    </fill>
    <fill>
      <patternFill patternType="solid">
        <fgColor theme="0" tint="-4.9989318521683403E-2"/>
        <bgColor indexed="64"/>
      </patternFill>
    </fill>
    <fill>
      <patternFill patternType="solid">
        <fgColor rgb="FFF2F2F2"/>
      </patternFill>
    </fill>
    <fill>
      <patternFill patternType="solid">
        <fgColor rgb="FF1F3864"/>
      </patternFill>
    </fill>
    <fill>
      <patternFill patternType="solid">
        <fgColor rgb="FF2E75B6"/>
      </patternFill>
    </fill>
    <fill>
      <patternFill patternType="solid">
        <fgColor rgb="FFD6E4F0"/>
      </patternFill>
    </fill>
    <fill>
      <patternFill patternType="solid">
        <fgColor rgb="FFFFFFFF"/>
      </patternFill>
    </fill>
    <fill>
      <patternFill patternType="solid">
        <fgColor rgb="FFE8F4FD"/>
      </patternFill>
    </fill>
    <fill>
      <patternFill patternType="solid">
        <fgColor rgb="FFFFC000"/>
      </patternFill>
    </fill>
  </fills>
  <borders count="1">
    <border>
      <left/>
      <right/>
      <top/>
      <bottom/>
      <diagonal/>
    </border>
  </borders>
  <cellStyleXfs count="1">
    <xf numFmtId="0" fontId="0" fillId="0" borderId="0"/>
  </cellStyleXfs>
  <cellXfs count="37">
    <xf numFmtId="0" fontId="0" fillId="0" borderId="0" xfId="0" applyFont="1" applyAlignment="1"/>
    <xf numFmtId="0" fontId="1" fillId="0" borderId="0" xfId="0" applyFont="1"/>
    <xf numFmtId="0" fontId="2" fillId="0" borderId="0" xfId="0" applyFont="1"/>
    <xf numFmtId="2" fontId="2" fillId="0" borderId="0" xfId="0" applyNumberFormat="1" applyFont="1"/>
    <xf numFmtId="10" fontId="2" fillId="0" borderId="0" xfId="0" applyNumberFormat="1" applyFont="1"/>
    <xf numFmtId="0" fontId="3" fillId="0" borderId="0" xfId="0" applyFont="1"/>
    <xf numFmtId="0" fontId="4" fillId="0" borderId="0" xfId="0" applyFont="1" applyAlignment="1">
      <alignment wrapText="1"/>
    </xf>
    <xf numFmtId="0" fontId="2" fillId="0" borderId="0" xfId="0" applyFont="1" applyAlignment="1">
      <alignment wrapText="1"/>
    </xf>
    <xf numFmtId="0" fontId="1" fillId="0" borderId="0" xfId="0" applyFont="1" applyAlignment="1">
      <alignment horizontal="right"/>
    </xf>
    <xf numFmtId="164" fontId="2" fillId="0" borderId="0" xfId="0" applyNumberFormat="1" applyFont="1"/>
    <xf numFmtId="0" fontId="5" fillId="0" borderId="0" xfId="0" applyFont="1" applyAlignment="1">
      <alignment wrapText="1"/>
    </xf>
    <xf numFmtId="10" fontId="3" fillId="0" borderId="0" xfId="0" applyNumberFormat="1" applyFont="1"/>
    <xf numFmtId="2" fontId="3" fillId="0" borderId="0" xfId="0" applyNumberFormat="1" applyFont="1"/>
    <xf numFmtId="0" fontId="2" fillId="0" borderId="0" xfId="0" applyFont="1" applyAlignment="1"/>
    <xf numFmtId="0" fontId="6" fillId="2" borderId="0" xfId="0" applyFont="1" applyFill="1" applyAlignment="1">
      <alignment wrapText="1"/>
    </xf>
    <xf numFmtId="0" fontId="7" fillId="4" borderId="0" xfId="0" applyFont="1" applyFill="1" applyAlignment="1">
      <alignment horizontal="center" vertical="center"/>
    </xf>
    <xf numFmtId="0" fontId="8" fillId="0" borderId="0" xfId="0" applyFont="1" applyAlignment="1">
      <alignment horizontal="center"/>
    </xf>
    <xf numFmtId="0" fontId="9" fillId="5" borderId="0" xfId="0" applyFont="1" applyFill="1" applyAlignment="1">
      <alignment horizontal="center" vertical="center" wrapText="1"/>
    </xf>
    <xf numFmtId="0" fontId="10" fillId="6" borderId="0" xfId="0" applyFont="1" applyFill="1" applyAlignment="1">
      <alignment horizontal="center" vertical="center"/>
    </xf>
    <xf numFmtId="0" fontId="11" fillId="4" borderId="0" xfId="0" applyFont="1" applyFill="1" applyAlignment="1">
      <alignment horizontal="left" vertical="center"/>
    </xf>
    <xf numFmtId="0" fontId="11" fillId="5" borderId="0" xfId="0" applyFont="1" applyFill="1" applyAlignment="1">
      <alignment horizontal="center" vertical="center" wrapText="1"/>
    </xf>
    <xf numFmtId="0" fontId="12" fillId="3" borderId="0" xfId="0" applyFont="1" applyFill="1" applyAlignment="1">
      <alignment horizontal="left" vertical="center"/>
    </xf>
    <xf numFmtId="3" fontId="13" fillId="3" borderId="0" xfId="0" applyNumberFormat="1" applyFont="1" applyFill="1" applyAlignment="1">
      <alignment horizontal="center" vertical="center"/>
    </xf>
    <xf numFmtId="0" fontId="12" fillId="7" borderId="0" xfId="0" applyFont="1" applyFill="1" applyAlignment="1">
      <alignment horizontal="left" vertical="center"/>
    </xf>
    <xf numFmtId="3" fontId="13" fillId="7" borderId="0" xfId="0" applyNumberFormat="1" applyFont="1" applyFill="1" applyAlignment="1">
      <alignment horizontal="center" vertical="center"/>
    </xf>
    <xf numFmtId="164" fontId="13" fillId="3" borderId="0" xfId="0" applyNumberFormat="1" applyFont="1" applyFill="1" applyAlignment="1">
      <alignment horizontal="center" vertical="center"/>
    </xf>
    <xf numFmtId="0" fontId="13" fillId="3" borderId="0" xfId="0" applyFont="1" applyFill="1" applyAlignment="1">
      <alignment horizontal="left" vertical="center"/>
    </xf>
    <xf numFmtId="0" fontId="13" fillId="7" borderId="0" xfId="0" applyFont="1" applyFill="1" applyAlignment="1">
      <alignment horizontal="left" vertical="center"/>
    </xf>
    <xf numFmtId="0" fontId="14" fillId="8" borderId="0" xfId="0" applyFont="1" applyFill="1" applyAlignment="1">
      <alignment horizontal="left" vertical="center"/>
    </xf>
    <xf numFmtId="3" fontId="14" fillId="8" borderId="0" xfId="0" applyNumberFormat="1" applyFont="1" applyFill="1" applyAlignment="1">
      <alignment horizontal="center" vertical="center"/>
    </xf>
    <xf numFmtId="164" fontId="13" fillId="7" borderId="0" xfId="0" applyNumberFormat="1" applyFont="1" applyFill="1" applyAlignment="1">
      <alignment horizontal="center" vertical="center"/>
    </xf>
    <xf numFmtId="165" fontId="13" fillId="7" borderId="0" xfId="0" applyNumberFormat="1" applyFont="1" applyFill="1" applyAlignment="1">
      <alignment horizontal="center" vertical="center"/>
    </xf>
    <xf numFmtId="165" fontId="13" fillId="3" borderId="0" xfId="0" applyNumberFormat="1" applyFont="1" applyFill="1" applyAlignment="1">
      <alignment horizontal="center" vertical="center"/>
    </xf>
    <xf numFmtId="0" fontId="8" fillId="9" borderId="0" xfId="0" applyFont="1" applyFill="1" applyAlignment="1">
      <alignment horizontal="left" wrapText="1"/>
    </xf>
    <xf numFmtId="0" fontId="0" fillId="0" borderId="0" xfId="0"/>
    <xf numFmtId="0" fontId="2" fillId="0" borderId="0" xfId="0" applyFont="1" applyAlignment="1"/>
    <xf numFmtId="0" fontId="2" fillId="0" borderId="0" xfId="0" applyFont="1" applyAlignment="1">
      <alignment vertical="center"/>
    </xf>
  </cellXfs>
  <cellStyles count="1">
    <cellStyle name="Normal" xfId="0" builtinId="0"/>
  </cellStyles>
  <dxfs count="25">
    <dxf>
      <font>
        <b/>
      </font>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s>
  <tableStyles count="8">
    <tableStyle name="01_Raw_IS-style" pivot="0" count="3" xr9:uid="{00000000-0011-0000-FFFF-FFFF00000000}">
      <tableStyleElement type="headerRow" dxfId="24"/>
      <tableStyleElement type="firstRowStripe" dxfId="23"/>
      <tableStyleElement type="secondRowStripe" dxfId="22"/>
    </tableStyle>
    <tableStyle name="02_Raw_BS-style" pivot="0" count="3" xr9:uid="{00000000-0011-0000-FFFF-FFFF01000000}">
      <tableStyleElement type="headerRow" dxfId="21"/>
      <tableStyleElement type="firstRowStripe" dxfId="20"/>
      <tableStyleElement type="secondRowStripe" dxfId="19"/>
    </tableStyle>
    <tableStyle name="03_Raw_CF-style" pivot="0" count="3" xr9:uid="{00000000-0011-0000-FFFF-FFFF02000000}">
      <tableStyleElement type="headerRow" dxfId="18"/>
      <tableStyleElement type="firstRowStripe" dxfId="17"/>
      <tableStyleElement type="secondRowStripe" dxfId="16"/>
    </tableStyle>
    <tableStyle name="04_Clean_IS-style" pivot="0" count="3" xr9:uid="{00000000-0011-0000-FFFF-FFFF03000000}">
      <tableStyleElement type="headerRow" dxfId="15"/>
      <tableStyleElement type="firstRowStripe" dxfId="14"/>
      <tableStyleElement type="secondRowStripe" dxfId="13"/>
    </tableStyle>
    <tableStyle name="05_Clean_BS-style" pivot="0" count="3" xr9:uid="{00000000-0011-0000-FFFF-FFFF04000000}">
      <tableStyleElement type="headerRow" dxfId="12"/>
      <tableStyleElement type="firstRowStripe" dxfId="11"/>
      <tableStyleElement type="secondRowStripe" dxfId="10"/>
    </tableStyle>
    <tableStyle name="06_Clean_CF-style" pivot="0" count="3" xr9:uid="{00000000-0011-0000-FFFF-FFFF05000000}">
      <tableStyleElement type="headerRow" dxfId="9"/>
      <tableStyleElement type="firstRowStripe" dxfId="8"/>
      <tableStyleElement type="secondRowStripe" dxfId="7"/>
    </tableStyle>
    <tableStyle name="08_Trends-style" pivot="0" count="3" xr9:uid="{00000000-0011-0000-FFFF-FFFF06000000}">
      <tableStyleElement type="headerRow" dxfId="6"/>
      <tableStyleElement type="firstRowStripe" dxfId="5"/>
      <tableStyleElement type="secondRowStripe" dxfId="4"/>
    </tableStyle>
    <tableStyle name="07_Ratios-style" pivot="0" count="3" xr9:uid="{00000000-0011-0000-FFFF-FFFF07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mn-lt"/>
              </a:defRPr>
            </a:pPr>
            <a:r>
              <a:rPr lang="en-US" sz="1400" b="0" i="0">
                <a:solidFill>
                  <a:srgbClr val="757575"/>
                </a:solidFill>
                <a:latin typeface="+mn-lt"/>
              </a:rPr>
              <a:t>Revenue Growth (FY2023-FY2025)</a:t>
            </a:r>
          </a:p>
        </c:rich>
      </c:tx>
      <c:layout>
        <c:manualLayout>
          <c:xMode val="edge"/>
          <c:yMode val="edge"/>
          <c:x val="0.23473917322834645"/>
          <c:y val="4.4724409448818898E-2"/>
        </c:manualLayout>
      </c:layout>
      <c:overlay val="0"/>
    </c:title>
    <c:autoTitleDeleted val="0"/>
    <c:plotArea>
      <c:layout/>
      <c:lineChart>
        <c:grouping val="standard"/>
        <c:varyColors val="0"/>
        <c:ser>
          <c:idx val="0"/>
          <c:order val="0"/>
          <c:tx>
            <c:v>Revenue</c:v>
          </c:tx>
          <c:spPr>
            <a:ln w="28575" cmpd="sng">
              <a:solidFill>
                <a:schemeClr val="accent1"/>
              </a:solidFill>
              <a:prstDash val="solid"/>
            </a:ln>
          </c:spPr>
          <c:marker>
            <c:symbol val="none"/>
          </c:marker>
          <c:cat>
            <c:strRef>
              <c:f>'08_Trends'!$B$1:$D$1</c:f>
              <c:strCache>
                <c:ptCount val="3"/>
                <c:pt idx="0">
                  <c:v>FY2023</c:v>
                </c:pt>
                <c:pt idx="1">
                  <c:v>FY2024</c:v>
                </c:pt>
                <c:pt idx="2">
                  <c:v>FY2025</c:v>
                </c:pt>
              </c:strCache>
            </c:strRef>
          </c:cat>
          <c:val>
            <c:numRef>
              <c:f>'08_Trends'!$B$2:$D$2</c:f>
              <c:numCache>
                <c:formatCode>General</c:formatCode>
                <c:ptCount val="3"/>
                <c:pt idx="0">
                  <c:v>219530</c:v>
                </c:pt>
                <c:pt idx="1">
                  <c:v>246082</c:v>
                </c:pt>
                <c:pt idx="2">
                  <c:v>256682</c:v>
                </c:pt>
              </c:numCache>
            </c:numRef>
          </c:val>
          <c:smooth val="0"/>
          <c:extLst>
            <c:ext xmlns:c16="http://schemas.microsoft.com/office/drawing/2014/chart" uri="{C3380CC4-5D6E-409C-BE32-E72D297353CC}">
              <c16:uniqueId val="{00000000-E5E5-47D4-9692-168280C7C4B8}"/>
            </c:ext>
          </c:extLst>
        </c:ser>
        <c:dLbls>
          <c:showLegendKey val="0"/>
          <c:showVal val="0"/>
          <c:showCatName val="0"/>
          <c:showSerName val="0"/>
          <c:showPercent val="0"/>
          <c:showBubbleSize val="0"/>
        </c:dLbls>
        <c:smooth val="0"/>
        <c:axId val="326942614"/>
        <c:axId val="699796250"/>
      </c:lineChart>
      <c:catAx>
        <c:axId val="32694261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699796250"/>
        <c:crosses val="autoZero"/>
        <c:auto val="1"/>
        <c:lblAlgn val="ctr"/>
        <c:lblOffset val="100"/>
        <c:noMultiLvlLbl val="1"/>
      </c:catAx>
      <c:valAx>
        <c:axId val="69979625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326942614"/>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mn-lt"/>
              </a:defRPr>
            </a:pPr>
            <a:r>
              <a:rPr lang="en-US" sz="1400" b="0" i="0">
                <a:solidFill>
                  <a:srgbClr val="757575"/>
                </a:solidFill>
                <a:latin typeface="+mn-lt"/>
              </a:rPr>
              <a:t>Balance Sheet Growth (FY2023-FY2025)</a:t>
            </a:r>
          </a:p>
        </c:rich>
      </c:tx>
      <c:overlay val="0"/>
    </c:title>
    <c:autoTitleDeleted val="0"/>
    <c:plotArea>
      <c:layout/>
      <c:lineChart>
        <c:grouping val="standard"/>
        <c:varyColors val="1"/>
        <c:ser>
          <c:idx val="0"/>
          <c:order val="0"/>
          <c:tx>
            <c:v>Total assets</c:v>
          </c:tx>
          <c:spPr>
            <a:ln w="28575" cmpd="sng">
              <a:solidFill>
                <a:schemeClr val="accent1"/>
              </a:solidFill>
              <a:prstDash val="solid"/>
            </a:ln>
          </c:spPr>
          <c:marker>
            <c:symbol val="none"/>
          </c:marker>
          <c:cat>
            <c:strRef>
              <c:f>'08_Trends'!$B$1:$D$1</c:f>
              <c:strCache>
                <c:ptCount val="3"/>
                <c:pt idx="0">
                  <c:v>FY2023</c:v>
                </c:pt>
                <c:pt idx="1">
                  <c:v>FY2024</c:v>
                </c:pt>
                <c:pt idx="2">
                  <c:v>FY2025</c:v>
                </c:pt>
              </c:strCache>
            </c:strRef>
          </c:cat>
          <c:val>
            <c:numRef>
              <c:f>'08_Trends'!$B$10:$D$10</c:f>
              <c:numCache>
                <c:formatCode>General</c:formatCode>
                <c:ptCount val="3"/>
                <c:pt idx="0">
                  <c:v>102356</c:v>
                </c:pt>
                <c:pt idx="1">
                  <c:v>112328</c:v>
                </c:pt>
                <c:pt idx="2">
                  <c:v>124944</c:v>
                </c:pt>
              </c:numCache>
            </c:numRef>
          </c:val>
          <c:smooth val="0"/>
          <c:extLst>
            <c:ext xmlns:c16="http://schemas.microsoft.com/office/drawing/2014/chart" uri="{C3380CC4-5D6E-409C-BE32-E72D297353CC}">
              <c16:uniqueId val="{00000000-BCE6-4B02-B877-3D5FB47E7E78}"/>
            </c:ext>
          </c:extLst>
        </c:ser>
        <c:ser>
          <c:idx val="1"/>
          <c:order val="1"/>
          <c:tx>
            <c:v>Total equity</c:v>
          </c:tx>
          <c:spPr>
            <a:ln w="28575" cmpd="sng">
              <a:solidFill>
                <a:schemeClr val="accent2"/>
              </a:solidFill>
              <a:prstDash val="solid"/>
            </a:ln>
          </c:spPr>
          <c:marker>
            <c:symbol val="none"/>
          </c:marker>
          <c:cat>
            <c:strRef>
              <c:f>'08_Trends'!$B$1:$D$1</c:f>
              <c:strCache>
                <c:ptCount val="3"/>
                <c:pt idx="0">
                  <c:v>FY2023</c:v>
                </c:pt>
                <c:pt idx="1">
                  <c:v>FY2024</c:v>
                </c:pt>
                <c:pt idx="2">
                  <c:v>FY2025</c:v>
                </c:pt>
              </c:strCache>
            </c:strRef>
          </c:cat>
          <c:val>
            <c:numRef>
              <c:f>'08_Trends'!$B$11:$D$11</c:f>
              <c:numCache>
                <c:formatCode>General</c:formatCode>
                <c:ptCount val="3"/>
                <c:pt idx="0">
                  <c:v>26278</c:v>
                </c:pt>
                <c:pt idx="1">
                  <c:v>27724</c:v>
                </c:pt>
                <c:pt idx="2">
                  <c:v>30117</c:v>
                </c:pt>
              </c:numCache>
            </c:numRef>
          </c:val>
          <c:smooth val="0"/>
          <c:extLst>
            <c:ext xmlns:c16="http://schemas.microsoft.com/office/drawing/2014/chart" uri="{C3380CC4-5D6E-409C-BE32-E72D297353CC}">
              <c16:uniqueId val="{00000001-BCE6-4B02-B877-3D5FB47E7E78}"/>
            </c:ext>
          </c:extLst>
        </c:ser>
        <c:ser>
          <c:idx val="2"/>
          <c:order val="2"/>
          <c:tx>
            <c:v>Total liabilities</c:v>
          </c:tx>
          <c:spPr>
            <a:ln w="28575" cmpd="sng">
              <a:solidFill>
                <a:schemeClr val="accent3"/>
              </a:solidFill>
              <a:prstDash val="solid"/>
            </a:ln>
          </c:spPr>
          <c:marker>
            <c:symbol val="none"/>
          </c:marker>
          <c:cat>
            <c:strRef>
              <c:f>'08_Trends'!$B$1:$D$1</c:f>
              <c:strCache>
                <c:ptCount val="3"/>
                <c:pt idx="0">
                  <c:v>FY2023</c:v>
                </c:pt>
                <c:pt idx="1">
                  <c:v>FY2024</c:v>
                </c:pt>
                <c:pt idx="2">
                  <c:v>FY2025</c:v>
                </c:pt>
              </c:strCache>
            </c:strRef>
          </c:cat>
          <c:val>
            <c:numRef>
              <c:f>'08_Trends'!$B$12:$D$12</c:f>
              <c:numCache>
                <c:formatCode>General</c:formatCode>
                <c:ptCount val="3"/>
                <c:pt idx="0">
                  <c:v>76078</c:v>
                </c:pt>
                <c:pt idx="1">
                  <c:v>84604</c:v>
                </c:pt>
                <c:pt idx="2">
                  <c:v>94827</c:v>
                </c:pt>
              </c:numCache>
            </c:numRef>
          </c:val>
          <c:smooth val="0"/>
          <c:extLst>
            <c:ext xmlns:c16="http://schemas.microsoft.com/office/drawing/2014/chart" uri="{C3380CC4-5D6E-409C-BE32-E72D297353CC}">
              <c16:uniqueId val="{00000002-BCE6-4B02-B877-3D5FB47E7E78}"/>
            </c:ext>
          </c:extLst>
        </c:ser>
        <c:dLbls>
          <c:showLegendKey val="0"/>
          <c:showVal val="0"/>
          <c:showCatName val="0"/>
          <c:showSerName val="0"/>
          <c:showPercent val="0"/>
          <c:showBubbleSize val="0"/>
        </c:dLbls>
        <c:smooth val="0"/>
        <c:axId val="627625305"/>
        <c:axId val="2061091758"/>
      </c:lineChart>
      <c:catAx>
        <c:axId val="62762530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2061091758"/>
        <c:crosses val="autoZero"/>
        <c:auto val="1"/>
        <c:lblAlgn val="ctr"/>
        <c:lblOffset val="100"/>
        <c:noMultiLvlLbl val="1"/>
      </c:catAx>
      <c:valAx>
        <c:axId val="20610917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627625305"/>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mn-lt"/>
              </a:defRPr>
            </a:pPr>
            <a:r>
              <a:rPr lang="en-US" sz="1400" b="0" i="0">
                <a:solidFill>
                  <a:srgbClr val="757575"/>
                </a:solidFill>
                <a:latin typeface="+mn-lt"/>
              </a:rPr>
              <a:t>Margin Trends (FY2023-FY2025)</a:t>
            </a:r>
          </a:p>
        </c:rich>
      </c:tx>
      <c:overlay val="0"/>
    </c:title>
    <c:autoTitleDeleted val="0"/>
    <c:plotArea>
      <c:layout/>
      <c:lineChart>
        <c:grouping val="standard"/>
        <c:varyColors val="1"/>
        <c:ser>
          <c:idx val="0"/>
          <c:order val="0"/>
          <c:tx>
            <c:v>Gross margin %</c:v>
          </c:tx>
          <c:spPr>
            <a:ln w="28575" cmpd="sng">
              <a:solidFill>
                <a:schemeClr val="accent1"/>
              </a:solidFill>
              <a:prstDash val="solid"/>
            </a:ln>
          </c:spPr>
          <c:marker>
            <c:symbol val="none"/>
          </c:marker>
          <c:cat>
            <c:strRef>
              <c:f>'08_Trends'!$B$1:$D$1</c:f>
              <c:strCache>
                <c:ptCount val="3"/>
                <c:pt idx="0">
                  <c:v>FY2023</c:v>
                </c:pt>
                <c:pt idx="1">
                  <c:v>FY2024</c:v>
                </c:pt>
                <c:pt idx="2">
                  <c:v>FY2025</c:v>
                </c:pt>
              </c:strCache>
            </c:strRef>
          </c:cat>
          <c:val>
            <c:numRef>
              <c:f>'08_Trends'!$B$6:$D$6</c:f>
              <c:numCache>
                <c:formatCode>0.0%</c:formatCode>
                <c:ptCount val="3"/>
                <c:pt idx="0">
                  <c:v>0.24054225050708053</c:v>
                </c:pt>
                <c:pt idx="1">
                  <c:v>0.23990727739512624</c:v>
                </c:pt>
                <c:pt idx="2">
                  <c:v>0.24314110351759588</c:v>
                </c:pt>
              </c:numCache>
            </c:numRef>
          </c:val>
          <c:smooth val="0"/>
          <c:extLst>
            <c:ext xmlns:c16="http://schemas.microsoft.com/office/drawing/2014/chart" uri="{C3380CC4-5D6E-409C-BE32-E72D297353CC}">
              <c16:uniqueId val="{00000000-5E71-40FD-80F0-0FE6DDD4AF13}"/>
            </c:ext>
          </c:extLst>
        </c:ser>
        <c:ser>
          <c:idx val="1"/>
          <c:order val="1"/>
          <c:tx>
            <c:v>Operating margin %</c:v>
          </c:tx>
          <c:spPr>
            <a:ln w="28575" cmpd="sng">
              <a:solidFill>
                <a:schemeClr val="accent2"/>
              </a:solidFill>
              <a:prstDash val="solid"/>
            </a:ln>
          </c:spPr>
          <c:marker>
            <c:symbol val="none"/>
          </c:marker>
          <c:cat>
            <c:strRef>
              <c:f>'08_Trends'!$B$1:$D$1</c:f>
              <c:strCache>
                <c:ptCount val="3"/>
                <c:pt idx="0">
                  <c:v>FY2023</c:v>
                </c:pt>
                <c:pt idx="1">
                  <c:v>FY2024</c:v>
                </c:pt>
                <c:pt idx="2">
                  <c:v>FY2025</c:v>
                </c:pt>
              </c:strCache>
            </c:strRef>
          </c:cat>
          <c:val>
            <c:numRef>
              <c:f>'08_Trends'!$B$7:$D$7</c:f>
              <c:numCache>
                <c:formatCode>0.0%</c:formatCode>
                <c:ptCount val="3"/>
                <c:pt idx="0">
                  <c:v>5.6229216963512962E-2</c:v>
                </c:pt>
                <c:pt idx="1">
                  <c:v>5.3461854178688407E-2</c:v>
                </c:pt>
                <c:pt idx="2">
                  <c:v>5.8216002680359355E-2</c:v>
                </c:pt>
              </c:numCache>
            </c:numRef>
          </c:val>
          <c:smooth val="0"/>
          <c:extLst>
            <c:ext xmlns:c16="http://schemas.microsoft.com/office/drawing/2014/chart" uri="{C3380CC4-5D6E-409C-BE32-E72D297353CC}">
              <c16:uniqueId val="{00000001-5E71-40FD-80F0-0FE6DDD4AF13}"/>
            </c:ext>
          </c:extLst>
        </c:ser>
        <c:ser>
          <c:idx val="2"/>
          <c:order val="2"/>
          <c:tx>
            <c:v>Net margin %</c:v>
          </c:tx>
          <c:spPr>
            <a:ln w="28575" cmpd="sng">
              <a:solidFill>
                <a:schemeClr val="accent3"/>
              </a:solidFill>
              <a:prstDash val="solid"/>
            </a:ln>
          </c:spPr>
          <c:marker>
            <c:symbol val="none"/>
          </c:marker>
          <c:cat>
            <c:strRef>
              <c:f>'08_Trends'!$B$1:$D$1</c:f>
              <c:strCache>
                <c:ptCount val="3"/>
                <c:pt idx="0">
                  <c:v>FY2023</c:v>
                </c:pt>
                <c:pt idx="1">
                  <c:v>FY2024</c:v>
                </c:pt>
                <c:pt idx="2">
                  <c:v>FY2025</c:v>
                </c:pt>
              </c:strCache>
            </c:strRef>
          </c:cat>
          <c:val>
            <c:numRef>
              <c:f>'08_Trends'!$B$8:$D$8</c:f>
              <c:numCache>
                <c:formatCode>0.0%</c:formatCode>
                <c:ptCount val="3"/>
                <c:pt idx="0">
                  <c:v>2.8788776021500477E-2</c:v>
                </c:pt>
                <c:pt idx="1">
                  <c:v>2.6588698076251006E-2</c:v>
                </c:pt>
                <c:pt idx="2">
                  <c:v>2.8798279583297622E-2</c:v>
                </c:pt>
              </c:numCache>
            </c:numRef>
          </c:val>
          <c:smooth val="0"/>
          <c:extLst>
            <c:ext xmlns:c16="http://schemas.microsoft.com/office/drawing/2014/chart" uri="{C3380CC4-5D6E-409C-BE32-E72D297353CC}">
              <c16:uniqueId val="{00000002-5E71-40FD-80F0-0FE6DDD4AF13}"/>
            </c:ext>
          </c:extLst>
        </c:ser>
        <c:dLbls>
          <c:showLegendKey val="0"/>
          <c:showVal val="0"/>
          <c:showCatName val="0"/>
          <c:showSerName val="0"/>
          <c:showPercent val="0"/>
          <c:showBubbleSize val="0"/>
        </c:dLbls>
        <c:smooth val="0"/>
        <c:axId val="1516015740"/>
        <c:axId val="1780567481"/>
      </c:lineChart>
      <c:catAx>
        <c:axId val="151601574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780567481"/>
        <c:crosses val="autoZero"/>
        <c:auto val="1"/>
        <c:lblAlgn val="ctr"/>
        <c:lblOffset val="100"/>
        <c:noMultiLvlLbl val="1"/>
      </c:catAx>
      <c:valAx>
        <c:axId val="178056748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c:spPr>
        <c:txPr>
          <a:bodyPr/>
          <a:lstStyle/>
          <a:p>
            <a:pPr lvl="0">
              <a:defRPr sz="900" b="0" i="0">
                <a:solidFill>
                  <a:srgbClr val="000000"/>
                </a:solidFill>
                <a:latin typeface="+mn-lt"/>
              </a:defRPr>
            </a:pPr>
            <a:endParaRPr lang="en-US"/>
          </a:p>
        </c:txPr>
        <c:crossAx val="151601574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mn-lt"/>
              </a:defRPr>
            </a:pPr>
            <a:r>
              <a:rPr lang="en-US" sz="1400" b="0" i="0">
                <a:solidFill>
                  <a:srgbClr val="757575"/>
                </a:solidFill>
                <a:latin typeface="+mn-lt"/>
              </a:rPr>
              <a:t>Profit vs Operating Cash Flow (FY2023–FY2025)</a:t>
            </a:r>
          </a:p>
        </c:rich>
      </c:tx>
      <c:overlay val="0"/>
    </c:title>
    <c:autoTitleDeleted val="0"/>
    <c:plotArea>
      <c:layout/>
      <c:barChart>
        <c:barDir val="col"/>
        <c:grouping val="clustered"/>
        <c:varyColors val="1"/>
        <c:ser>
          <c:idx val="0"/>
          <c:order val="0"/>
          <c:tx>
            <c:v>Operating profit</c:v>
          </c:tx>
          <c:spPr>
            <a:solidFill>
              <a:srgbClr val="4472C4"/>
            </a:solidFill>
            <a:ln cmpd="sng">
              <a:solidFill>
                <a:srgbClr val="000000"/>
              </a:solidFill>
            </a:ln>
          </c:spPr>
          <c:invertIfNegative val="1"/>
          <c:cat>
            <c:strRef>
              <c:f>'08_Trends'!$B$1:$D$1</c:f>
              <c:strCache>
                <c:ptCount val="3"/>
                <c:pt idx="0">
                  <c:v>FY2023</c:v>
                </c:pt>
                <c:pt idx="1">
                  <c:v>FY2024</c:v>
                </c:pt>
                <c:pt idx="2">
                  <c:v>FY2025</c:v>
                </c:pt>
              </c:strCache>
            </c:strRef>
          </c:cat>
          <c:val>
            <c:numRef>
              <c:f>'08_Trends'!$B$4:$D$4</c:f>
              <c:numCache>
                <c:formatCode>General</c:formatCode>
                <c:ptCount val="3"/>
                <c:pt idx="0">
                  <c:v>12344</c:v>
                </c:pt>
                <c:pt idx="1">
                  <c:v>13156</c:v>
                </c:pt>
                <c:pt idx="2">
                  <c:v>14943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F1C-4F52-85A3-5BF7668A5D65}"/>
            </c:ext>
          </c:extLst>
        </c:ser>
        <c:ser>
          <c:idx val="1"/>
          <c:order val="1"/>
          <c:tx>
            <c:v>Profit after tax</c:v>
          </c:tx>
          <c:spPr>
            <a:solidFill>
              <a:srgbClr val="ED7D31"/>
            </a:solidFill>
            <a:ln cmpd="sng">
              <a:solidFill>
                <a:srgbClr val="000000"/>
              </a:solidFill>
            </a:ln>
          </c:spPr>
          <c:invertIfNegative val="1"/>
          <c:cat>
            <c:strRef>
              <c:f>'08_Trends'!$B$1:$D$1</c:f>
              <c:strCache>
                <c:ptCount val="3"/>
                <c:pt idx="0">
                  <c:v>FY2023</c:v>
                </c:pt>
                <c:pt idx="1">
                  <c:v>FY2024</c:v>
                </c:pt>
                <c:pt idx="2">
                  <c:v>FY2025</c:v>
                </c:pt>
              </c:strCache>
            </c:strRef>
          </c:cat>
          <c:val>
            <c:numRef>
              <c:f>'08_Trends'!$B$5:$D$5</c:f>
              <c:numCache>
                <c:formatCode>General</c:formatCode>
                <c:ptCount val="3"/>
                <c:pt idx="0">
                  <c:v>6320</c:v>
                </c:pt>
                <c:pt idx="1">
                  <c:v>6543</c:v>
                </c:pt>
                <c:pt idx="2">
                  <c:v>7392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F1C-4F52-85A3-5BF7668A5D65}"/>
            </c:ext>
          </c:extLst>
        </c:ser>
        <c:dLbls>
          <c:showLegendKey val="0"/>
          <c:showVal val="0"/>
          <c:showCatName val="0"/>
          <c:showSerName val="0"/>
          <c:showPercent val="0"/>
          <c:showBubbleSize val="0"/>
        </c:dLbls>
        <c:gapWidth val="150"/>
        <c:axId val="1945947739"/>
        <c:axId val="771286510"/>
      </c:barChart>
      <c:catAx>
        <c:axId val="194594773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71286510"/>
        <c:crosses val="autoZero"/>
        <c:auto val="1"/>
        <c:lblAlgn val="ctr"/>
        <c:lblOffset val="100"/>
        <c:noMultiLvlLbl val="1"/>
      </c:catAx>
      <c:valAx>
        <c:axId val="7712865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945947739"/>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5</xdr:row>
      <xdr:rowOff>161925</xdr:rowOff>
    </xdr:from>
    <xdr:to>
      <xdr:col>12</xdr:col>
      <xdr:colOff>0</xdr:colOff>
      <xdr:row>18</xdr:row>
      <xdr:rowOff>142875</xdr:rowOff>
    </xdr:to>
    <xdr:graphicFrame macro="">
      <xdr:nvGraphicFramePr>
        <xdr:cNvPr id="2" name="Chart 1">
          <a:extLst>
            <a:ext uri="{FF2B5EF4-FFF2-40B4-BE49-F238E27FC236}">
              <a16:creationId xmlns:a16="http://schemas.microsoft.com/office/drawing/2014/main" id="{07AC0B52-7AC2-40E5-8ABD-6632BD069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171450</xdr:rowOff>
    </xdr:from>
    <xdr:to>
      <xdr:col>12</xdr:col>
      <xdr:colOff>0</xdr:colOff>
      <xdr:row>29</xdr:row>
      <xdr:rowOff>171450</xdr:rowOff>
    </xdr:to>
    <xdr:graphicFrame macro="">
      <xdr:nvGraphicFramePr>
        <xdr:cNvPr id="3" name="Chart 2">
          <a:extLst>
            <a:ext uri="{FF2B5EF4-FFF2-40B4-BE49-F238E27FC236}">
              <a16:creationId xmlns:a16="http://schemas.microsoft.com/office/drawing/2014/main" id="{628A3E0A-F989-4DCE-A702-E827131181C0}"/>
            </a:ext>
            <a:ext uri="{147F2762-F138-4A5C-976F-8EAC2B608ADB}">
              <a16:predDERef xmlns:a16="http://schemas.microsoft.com/office/drawing/2014/main" pred="{07AC0B52-7AC2-40E5-8ABD-6632BD069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30</xdr:row>
      <xdr:rowOff>28575</xdr:rowOff>
    </xdr:from>
    <xdr:to>
      <xdr:col>12</xdr:col>
      <xdr:colOff>0</xdr:colOff>
      <xdr:row>43</xdr:row>
      <xdr:rowOff>28575</xdr:rowOff>
    </xdr:to>
    <xdr:graphicFrame macro="">
      <xdr:nvGraphicFramePr>
        <xdr:cNvPr id="4" name="Chart 3">
          <a:extLst>
            <a:ext uri="{FF2B5EF4-FFF2-40B4-BE49-F238E27FC236}">
              <a16:creationId xmlns:a16="http://schemas.microsoft.com/office/drawing/2014/main" id="{A8B26188-BDAC-4E33-810C-7B768FCB7B48}"/>
            </a:ext>
            <a:ext uri="{147F2762-F138-4A5C-976F-8EAC2B608ADB}">
              <a16:predDERef xmlns:a16="http://schemas.microsoft.com/office/drawing/2014/main" pred="{628A3E0A-F989-4DCE-A702-E82713118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43</xdr:row>
      <xdr:rowOff>95250</xdr:rowOff>
    </xdr:from>
    <xdr:to>
      <xdr:col>11</xdr:col>
      <xdr:colOff>600075</xdr:colOff>
      <xdr:row>56</xdr:row>
      <xdr:rowOff>76200</xdr:rowOff>
    </xdr:to>
    <xdr:graphicFrame macro="">
      <xdr:nvGraphicFramePr>
        <xdr:cNvPr id="5" name="Chart 4">
          <a:extLst>
            <a:ext uri="{FF2B5EF4-FFF2-40B4-BE49-F238E27FC236}">
              <a16:creationId xmlns:a16="http://schemas.microsoft.com/office/drawing/2014/main" id="{8797E572-FE45-480A-A50C-E08C486E93F0}"/>
            </a:ext>
            <a:ext uri="{147F2762-F138-4A5C-976F-8EAC2B608ADB}">
              <a16:predDERef xmlns:a16="http://schemas.microsoft.com/office/drawing/2014/main" pred="{A8B26188-BDAC-4E33-810C-7B768FCB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D10">
  <tableColumns count="4">
    <tableColumn id="1" xr3:uid="{00000000-0010-0000-0000-000001000000}" name="Line Item"/>
    <tableColumn id="2" xr3:uid="{00000000-0010-0000-0000-000002000000}" name="FY2023"/>
    <tableColumn id="3" xr3:uid="{00000000-0010-0000-0000-000003000000}" name="FY2024"/>
    <tableColumn id="4" xr3:uid="{00000000-0010-0000-0000-000004000000}" name="FY2025"/>
  </tableColumns>
  <tableStyleInfo name="01_Raw_I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D9">
  <tableColumns count="4">
    <tableColumn id="1" xr3:uid="{00000000-0010-0000-0100-000001000000}" name="Line Item"/>
    <tableColumn id="2" xr3:uid="{00000000-0010-0000-0100-000002000000}" name="FY2023"/>
    <tableColumn id="3" xr3:uid="{00000000-0010-0000-0100-000003000000}" name="FY2024"/>
    <tableColumn id="4" xr3:uid="{00000000-0010-0000-0100-000004000000}" name="FY2025"/>
  </tableColumns>
  <tableStyleInfo name="02_Raw_B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D5">
  <tableColumns count="4">
    <tableColumn id="1" xr3:uid="{00000000-0010-0000-0200-000001000000}" name="Line Item"/>
    <tableColumn id="2" xr3:uid="{00000000-0010-0000-0200-000002000000}" name="FY2023"/>
    <tableColumn id="3" xr3:uid="{00000000-0010-0000-0200-000003000000}" name="FY2024"/>
    <tableColumn id="4" xr3:uid="{00000000-0010-0000-0200-000004000000}" name="FY2025"/>
  </tableColumns>
  <tableStyleInfo name="03_Raw_CF-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D14">
  <tableColumns count="4">
    <tableColumn id="1" xr3:uid="{00000000-0010-0000-0300-000001000000}" name="Line Item"/>
    <tableColumn id="2" xr3:uid="{00000000-0010-0000-0300-000002000000}" name="FY2023"/>
    <tableColumn id="3" xr3:uid="{00000000-0010-0000-0300-000003000000}" name="FY2024"/>
    <tableColumn id="4" xr3:uid="{00000000-0010-0000-0300-000004000000}" name="FY2025"/>
  </tableColumns>
  <tableStyleInfo name="04_Clean_I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D35">
  <tableColumns count="4">
    <tableColumn id="1" xr3:uid="{00000000-0010-0000-0400-000001000000}" name="Line Item"/>
    <tableColumn id="2" xr3:uid="{00000000-0010-0000-0400-000002000000}" name="FY2023"/>
    <tableColumn id="3" xr3:uid="{00000000-0010-0000-0400-000003000000}" name="FY2024"/>
    <tableColumn id="4" xr3:uid="{00000000-0010-0000-0400-000004000000}" name="FY2025"/>
  </tableColumns>
  <tableStyleInfo name="05_Clean_B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D20">
  <tableColumns count="4">
    <tableColumn id="1" xr3:uid="{00000000-0010-0000-0500-000001000000}" name="Line Item"/>
    <tableColumn id="2" xr3:uid="{00000000-0010-0000-0500-000002000000}" name="FY2023"/>
    <tableColumn id="3" xr3:uid="{00000000-0010-0000-0500-000003000000}" name="FY2024"/>
    <tableColumn id="4" xr3:uid="{00000000-0010-0000-0500-000004000000}" name="FY2025"/>
  </tableColumns>
  <tableStyleInfo name="06_Clean_CF-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D20" headerRowDxfId="0">
  <tableColumns count="4">
    <tableColumn id="1" xr3:uid="{00000000-0010-0000-0700-000001000000}" name="Ratio"/>
    <tableColumn id="2" xr3:uid="{00000000-0010-0000-0700-000002000000}" name="FY2023"/>
    <tableColumn id="3" xr3:uid="{00000000-0010-0000-0700-000003000000}" name="FY2024"/>
    <tableColumn id="4" xr3:uid="{00000000-0010-0000-0700-000004000000}" name="FY2025"/>
  </tableColumns>
  <tableStyleInfo name="07_Ratio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F22">
  <tableColumns count="6">
    <tableColumn id="1" xr3:uid="{00000000-0010-0000-0600-000001000000}" name="Metric"/>
    <tableColumn id="2" xr3:uid="{00000000-0010-0000-0600-000002000000}" name="FY2023"/>
    <tableColumn id="3" xr3:uid="{00000000-0010-0000-0600-000003000000}" name="FY2024"/>
    <tableColumn id="4" xr3:uid="{00000000-0010-0000-0600-000004000000}" name="FY2025"/>
    <tableColumn id="5" xr3:uid="{00000000-0010-0000-0600-000005000000}" name="YoY % (23 → 24)"/>
    <tableColumn id="6" xr3:uid="{00000000-0010-0000-0600-000006000000}" name="YoY % (24 → 25)"/>
  </tableColumns>
  <tableStyleInfo name="08_Trend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defaultColWidth="14.42578125" defaultRowHeight="15" customHeight="1"/>
  <cols>
    <col min="1" max="1" width="17.7109375" customWidth="1"/>
    <col min="2" max="26" width="8.7109375" customWidth="1"/>
  </cols>
  <sheetData>
    <row r="1" spans="1:4">
      <c r="A1" s="1" t="s">
        <v>0</v>
      </c>
      <c r="B1" s="2" t="s">
        <v>1</v>
      </c>
      <c r="C1" s="2"/>
      <c r="D1" s="2"/>
    </row>
    <row r="2" spans="1:4">
      <c r="A2" s="1" t="s">
        <v>2</v>
      </c>
      <c r="B2" s="2" t="s">
        <v>3</v>
      </c>
      <c r="C2" s="2"/>
      <c r="D2" s="2"/>
    </row>
    <row r="3" spans="1:4">
      <c r="A3" s="2"/>
      <c r="B3" s="2"/>
      <c r="C3" s="2"/>
      <c r="D3" s="2"/>
    </row>
    <row r="4" spans="1:4">
      <c r="A4" s="1" t="s">
        <v>4</v>
      </c>
      <c r="B4" s="1" t="s">
        <v>5</v>
      </c>
      <c r="C4" s="1" t="s">
        <v>6</v>
      </c>
      <c r="D4" s="1"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heetViews>
  <sheetFormatPr defaultColWidth="14.42578125" defaultRowHeight="15" customHeight="1"/>
  <cols>
    <col min="1" max="1" width="18.5703125" customWidth="1"/>
    <col min="2" max="4" width="9.7109375" customWidth="1"/>
    <col min="5" max="26" width="8.7109375" customWidth="1"/>
  </cols>
  <sheetData>
    <row r="1" spans="1:4">
      <c r="A1" s="1" t="s">
        <v>8</v>
      </c>
      <c r="B1" s="1" t="s">
        <v>5</v>
      </c>
      <c r="C1" s="1" t="s">
        <v>6</v>
      </c>
      <c r="D1" s="1" t="s">
        <v>7</v>
      </c>
    </row>
    <row r="2" spans="1:4">
      <c r="A2" s="2" t="s">
        <v>9</v>
      </c>
      <c r="B2" s="2">
        <v>219530</v>
      </c>
      <c r="C2" s="2">
        <v>246082</v>
      </c>
      <c r="D2" s="2">
        <v>256682</v>
      </c>
    </row>
    <row r="3" spans="1:4">
      <c r="A3" s="2" t="s">
        <v>10</v>
      </c>
      <c r="B3" s="2">
        <v>214956</v>
      </c>
      <c r="C3" s="2">
        <v>240718</v>
      </c>
      <c r="D3" s="2">
        <v>252701</v>
      </c>
    </row>
    <row r="4" spans="1:4">
      <c r="A4" s="2" t="s">
        <v>11</v>
      </c>
      <c r="B4" s="2">
        <v>163250</v>
      </c>
      <c r="C4" s="2">
        <v>182968</v>
      </c>
      <c r="D4" s="2">
        <v>191259</v>
      </c>
    </row>
    <row r="5" spans="1:4">
      <c r="A5" s="2" t="s">
        <v>12</v>
      </c>
      <c r="B5" s="2">
        <v>51706</v>
      </c>
      <c r="C5" s="2">
        <v>57750</v>
      </c>
      <c r="D5" s="2">
        <v>61442</v>
      </c>
    </row>
    <row r="6" spans="1:4">
      <c r="A6" s="2" t="s">
        <v>13</v>
      </c>
      <c r="B6" s="2">
        <v>12344</v>
      </c>
      <c r="C6" s="2">
        <v>13156</v>
      </c>
      <c r="D6" s="2">
        <v>14943</v>
      </c>
    </row>
    <row r="7" spans="1:4">
      <c r="A7" s="2" t="s">
        <v>14</v>
      </c>
      <c r="B7" s="2">
        <v>3665</v>
      </c>
      <c r="C7" s="2">
        <v>4306</v>
      </c>
      <c r="D7" s="2">
        <v>5115</v>
      </c>
    </row>
    <row r="8" spans="1:4">
      <c r="A8" s="2" t="s">
        <v>15</v>
      </c>
      <c r="B8" s="2">
        <v>9132</v>
      </c>
      <c r="C8" s="2">
        <v>9379</v>
      </c>
      <c r="D8" s="2">
        <v>10185</v>
      </c>
    </row>
    <row r="9" spans="1:4">
      <c r="A9" s="2" t="s">
        <v>16</v>
      </c>
      <c r="B9" s="2">
        <v>2812</v>
      </c>
      <c r="C9" s="2">
        <v>2836</v>
      </c>
      <c r="D9" s="2">
        <v>2793</v>
      </c>
    </row>
    <row r="10" spans="1:4">
      <c r="A10" s="2" t="s">
        <v>17</v>
      </c>
      <c r="B10" s="2">
        <v>5901</v>
      </c>
      <c r="C10" s="2">
        <v>6221</v>
      </c>
      <c r="D10" s="2">
        <v>7583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heetViews>
  <sheetFormatPr defaultColWidth="14.42578125" defaultRowHeight="15" customHeight="1"/>
  <cols>
    <col min="1" max="1" width="25.28515625" customWidth="1"/>
    <col min="2" max="4" width="9.7109375" customWidth="1"/>
    <col min="5" max="26" width="8.7109375" customWidth="1"/>
  </cols>
  <sheetData>
    <row r="1" spans="1:4">
      <c r="A1" s="1" t="s">
        <v>8</v>
      </c>
      <c r="B1" s="1" t="s">
        <v>5</v>
      </c>
      <c r="C1" s="1" t="s">
        <v>6</v>
      </c>
      <c r="D1" s="1" t="s">
        <v>7</v>
      </c>
    </row>
    <row r="2" spans="1:4">
      <c r="A2" s="2" t="s">
        <v>18</v>
      </c>
      <c r="B2" s="2">
        <v>102356</v>
      </c>
      <c r="C2" s="2">
        <v>112328</v>
      </c>
      <c r="D2" s="2">
        <v>124944</v>
      </c>
    </row>
    <row r="3" spans="1:4">
      <c r="A3" s="2" t="s">
        <v>19</v>
      </c>
      <c r="B3" s="2">
        <v>47871</v>
      </c>
      <c r="C3" s="2">
        <v>50059</v>
      </c>
      <c r="D3" s="2">
        <v>52867</v>
      </c>
    </row>
    <row r="4" spans="1:4">
      <c r="A4" s="2" t="s">
        <v>20</v>
      </c>
      <c r="B4" s="2">
        <v>12548</v>
      </c>
      <c r="C4" s="2">
        <v>11732</v>
      </c>
      <c r="D4" s="2">
        <v>9946</v>
      </c>
    </row>
    <row r="5" spans="1:4">
      <c r="A5" s="2" t="s">
        <v>21</v>
      </c>
      <c r="B5" s="2">
        <v>25090</v>
      </c>
      <c r="C5" s="2">
        <v>28366</v>
      </c>
      <c r="D5" s="2">
        <v>29748</v>
      </c>
    </row>
    <row r="6" spans="1:4">
      <c r="A6" s="2" t="s">
        <v>22</v>
      </c>
      <c r="B6" s="2">
        <v>26278</v>
      </c>
      <c r="C6" s="2">
        <v>27724</v>
      </c>
      <c r="D6" s="2">
        <v>30117</v>
      </c>
    </row>
    <row r="7" spans="1:4">
      <c r="A7" s="2" t="s">
        <v>23</v>
      </c>
      <c r="B7" s="2">
        <v>76078</v>
      </c>
      <c r="C7" s="2">
        <v>84604</v>
      </c>
      <c r="D7" s="2">
        <v>94827</v>
      </c>
    </row>
    <row r="8" spans="1:4">
      <c r="A8" s="2" t="s">
        <v>24</v>
      </c>
      <c r="B8" s="2">
        <v>37416</v>
      </c>
      <c r="C8" s="2">
        <v>41538</v>
      </c>
      <c r="D8" s="2">
        <v>44541</v>
      </c>
    </row>
    <row r="9" spans="1:4">
      <c r="A9" s="2" t="s">
        <v>25</v>
      </c>
      <c r="B9" s="2">
        <v>6368</v>
      </c>
      <c r="C9" s="2">
        <v>5993</v>
      </c>
      <c r="D9" s="2">
        <v>6993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defaultColWidth="14.42578125" defaultRowHeight="15" customHeight="1"/>
  <cols>
    <col min="1" max="1" width="31.7109375" customWidth="1"/>
    <col min="2" max="4" width="9.7109375" customWidth="1"/>
    <col min="5" max="26" width="8.7109375" customWidth="1"/>
  </cols>
  <sheetData>
    <row r="1" spans="1:4">
      <c r="A1" s="1" t="s">
        <v>8</v>
      </c>
      <c r="B1" s="1" t="s">
        <v>5</v>
      </c>
      <c r="C1" s="1" t="s">
        <v>6</v>
      </c>
      <c r="D1" s="1" t="s">
        <v>7</v>
      </c>
    </row>
    <row r="2" spans="1:4">
      <c r="A2" s="2" t="s">
        <v>26</v>
      </c>
      <c r="B2" s="2">
        <v>9831</v>
      </c>
      <c r="C2" s="2">
        <v>13841</v>
      </c>
      <c r="D2" s="2">
        <v>10984</v>
      </c>
    </row>
    <row r="3" spans="1:4">
      <c r="A3" s="2" t="s">
        <v>27</v>
      </c>
      <c r="B3" s="2">
        <v>6229</v>
      </c>
      <c r="C3" s="2">
        <v>6779</v>
      </c>
      <c r="D3" s="2">
        <v>7365</v>
      </c>
    </row>
    <row r="4" spans="1:4">
      <c r="A4" s="2" t="s">
        <v>28</v>
      </c>
      <c r="B4" s="2">
        <v>2855</v>
      </c>
      <c r="C4" s="2">
        <v>4012</v>
      </c>
      <c r="D4" s="2">
        <v>4298</v>
      </c>
    </row>
    <row r="5" spans="1:4">
      <c r="A5" s="2" t="s">
        <v>29</v>
      </c>
      <c r="B5" s="2">
        <v>747</v>
      </c>
      <c r="C5" s="2">
        <v>3050</v>
      </c>
      <c r="D5" s="2">
        <v>679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defaultColWidth="14.42578125" defaultRowHeight="15" customHeight="1"/>
  <cols>
    <col min="1" max="1" width="18.42578125" customWidth="1"/>
    <col min="2" max="4" width="9.7109375" customWidth="1"/>
    <col min="5" max="26" width="8.7109375" customWidth="1"/>
  </cols>
  <sheetData>
    <row r="1" spans="1:4">
      <c r="A1" s="1" t="s">
        <v>8</v>
      </c>
      <c r="B1" s="1" t="s">
        <v>5</v>
      </c>
      <c r="C1" s="1" t="s">
        <v>6</v>
      </c>
      <c r="D1" s="1" t="s">
        <v>7</v>
      </c>
    </row>
    <row r="2" spans="1:4">
      <c r="A2" s="2" t="s">
        <v>9</v>
      </c>
      <c r="B2" s="2">
        <f>'01_Raw_IS'!B2</f>
        <v>219530</v>
      </c>
      <c r="C2" s="2">
        <f>'01_Raw_IS'!C2</f>
        <v>246082</v>
      </c>
      <c r="D2" s="2">
        <f>'01_Raw_IS'!D2</f>
        <v>256682</v>
      </c>
    </row>
    <row r="3" spans="1:4">
      <c r="A3" s="2" t="s">
        <v>10</v>
      </c>
      <c r="B3" s="2">
        <f>'01_Raw_IS'!B3</f>
        <v>214956</v>
      </c>
      <c r="C3" s="2">
        <f>'01_Raw_IS'!C3</f>
        <v>240718</v>
      </c>
      <c r="D3" s="2">
        <f>'01_Raw_IS'!D3</f>
        <v>252701</v>
      </c>
    </row>
    <row r="4" spans="1:4">
      <c r="A4" s="2" t="s">
        <v>11</v>
      </c>
      <c r="B4" s="2">
        <f>'01_Raw_IS'!B4</f>
        <v>163250</v>
      </c>
      <c r="C4" s="2">
        <f>'01_Raw_IS'!C4</f>
        <v>182968</v>
      </c>
      <c r="D4" s="2">
        <f>'01_Raw_IS'!D4</f>
        <v>191259</v>
      </c>
    </row>
    <row r="5" spans="1:4">
      <c r="A5" s="2" t="s">
        <v>12</v>
      </c>
      <c r="B5" s="2">
        <f t="shared" ref="B5:D5" si="0">B3-B4</f>
        <v>51706</v>
      </c>
      <c r="C5" s="2">
        <f t="shared" si="0"/>
        <v>57750</v>
      </c>
      <c r="D5" s="2">
        <f t="shared" si="0"/>
        <v>61442</v>
      </c>
    </row>
    <row r="6" spans="1:4">
      <c r="A6" s="2" t="s">
        <v>30</v>
      </c>
      <c r="B6" s="9">
        <f t="shared" ref="B6:D6" si="1">B5/B3</f>
        <v>0.24054225050708053</v>
      </c>
      <c r="C6" s="9">
        <f t="shared" si="1"/>
        <v>0.23990727739512624</v>
      </c>
      <c r="D6" s="9">
        <f t="shared" si="1"/>
        <v>0.24314110351759588</v>
      </c>
    </row>
    <row r="7" spans="1:4">
      <c r="A7" s="2" t="s">
        <v>13</v>
      </c>
      <c r="B7" s="2">
        <f>'01_Raw_IS'!B6</f>
        <v>12344</v>
      </c>
      <c r="C7" s="2">
        <f>'01_Raw_IS'!C6</f>
        <v>13156</v>
      </c>
      <c r="D7" s="2">
        <f>'01_Raw_IS'!D6</f>
        <v>14943</v>
      </c>
    </row>
    <row r="8" spans="1:4">
      <c r="A8" s="2" t="s">
        <v>31</v>
      </c>
      <c r="B8" s="9">
        <f t="shared" ref="B8:D8" si="2">B7/B2</f>
        <v>5.6229216963512962E-2</v>
      </c>
      <c r="C8" s="9">
        <f t="shared" si="2"/>
        <v>5.3461854178688407E-2</v>
      </c>
      <c r="D8" s="9">
        <f t="shared" si="2"/>
        <v>5.8216002680359355E-2</v>
      </c>
    </row>
    <row r="9" spans="1:4">
      <c r="A9" s="2" t="s">
        <v>32</v>
      </c>
      <c r="B9" s="2">
        <f>'01_Raw_IS'!B7</f>
        <v>3665</v>
      </c>
      <c r="C9" s="2">
        <f>'01_Raw_IS'!C7</f>
        <v>4306</v>
      </c>
      <c r="D9" s="2">
        <f>'01_Raw_IS'!D7</f>
        <v>5115</v>
      </c>
    </row>
    <row r="10" spans="1:4">
      <c r="A10" s="2" t="s">
        <v>33</v>
      </c>
      <c r="B10" s="2">
        <v>453</v>
      </c>
      <c r="C10" s="2">
        <v>529</v>
      </c>
      <c r="D10" s="2">
        <v>357</v>
      </c>
    </row>
    <row r="11" spans="1:4">
      <c r="A11" s="2" t="s">
        <v>15</v>
      </c>
      <c r="B11" s="2">
        <f t="shared" ref="B11:D11" si="3">B7-(B9-B10)</f>
        <v>9132</v>
      </c>
      <c r="C11" s="2">
        <f t="shared" si="3"/>
        <v>9379</v>
      </c>
      <c r="D11" s="2">
        <f t="shared" si="3"/>
        <v>10185</v>
      </c>
    </row>
    <row r="12" spans="1:4">
      <c r="A12" s="2" t="s">
        <v>16</v>
      </c>
      <c r="B12" s="2">
        <f>'01_Raw_IS'!B9</f>
        <v>2812</v>
      </c>
      <c r="C12" s="2">
        <f>'01_Raw_IS'!C9</f>
        <v>2836</v>
      </c>
      <c r="D12" s="2">
        <f>'01_Raw_IS'!D9</f>
        <v>2793</v>
      </c>
    </row>
    <row r="13" spans="1:4">
      <c r="A13" s="2" t="s">
        <v>17</v>
      </c>
      <c r="B13" s="2">
        <f t="shared" ref="B13:D13" si="4">B11-B12</f>
        <v>6320</v>
      </c>
      <c r="C13" s="2">
        <f t="shared" si="4"/>
        <v>6543</v>
      </c>
      <c r="D13" s="2">
        <f t="shared" si="4"/>
        <v>7392</v>
      </c>
    </row>
    <row r="14" spans="1:4">
      <c r="A14" s="2" t="s">
        <v>34</v>
      </c>
      <c r="B14" s="9">
        <f t="shared" ref="B14:D14" si="5">B13/B2</f>
        <v>2.8788776021500477E-2</v>
      </c>
      <c r="C14" s="9">
        <f t="shared" si="5"/>
        <v>2.6588698076251006E-2</v>
      </c>
      <c r="D14" s="9">
        <f t="shared" si="5"/>
        <v>2.8798279583297622E-2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workbookViewId="0"/>
  </sheetViews>
  <sheetFormatPr defaultColWidth="14.42578125" defaultRowHeight="15" customHeight="1"/>
  <cols>
    <col min="1" max="1" width="27.7109375" customWidth="1"/>
    <col min="2" max="4" width="9.7109375" customWidth="1"/>
    <col min="5" max="26" width="8.7109375" customWidth="1"/>
  </cols>
  <sheetData>
    <row r="1" spans="1:4">
      <c r="A1" s="2" t="s">
        <v>8</v>
      </c>
      <c r="B1" s="2" t="s">
        <v>5</v>
      </c>
      <c r="C1" s="2" t="s">
        <v>6</v>
      </c>
      <c r="D1" s="2" t="s">
        <v>7</v>
      </c>
    </row>
    <row r="2" spans="1:4">
      <c r="A2" s="2" t="s">
        <v>19</v>
      </c>
      <c r="B2" s="2"/>
      <c r="C2" s="2"/>
      <c r="D2" s="2"/>
    </row>
    <row r="3" spans="1:4">
      <c r="A3" s="2" t="s">
        <v>20</v>
      </c>
      <c r="B3" s="2">
        <f>'02_Raw_BS'!B4</f>
        <v>12548</v>
      </c>
      <c r="C3" s="2">
        <f>'02_Raw_BS'!C4</f>
        <v>11732</v>
      </c>
      <c r="D3" s="2">
        <f>'02_Raw_BS'!D4</f>
        <v>9946</v>
      </c>
    </row>
    <row r="4" spans="1:4">
      <c r="A4" s="2" t="s">
        <v>35</v>
      </c>
      <c r="B4" s="2"/>
      <c r="C4" s="2"/>
      <c r="D4" s="2"/>
    </row>
    <row r="5" spans="1:4">
      <c r="A5" s="2" t="s">
        <v>36</v>
      </c>
      <c r="B5" s="2">
        <f>'02_Raw_BS'!B5</f>
        <v>25090</v>
      </c>
      <c r="C5" s="2">
        <f>'02_Raw_BS'!C5</f>
        <v>28366</v>
      </c>
      <c r="D5" s="2">
        <f>'02_Raw_BS'!D5</f>
        <v>29748</v>
      </c>
    </row>
    <row r="6" spans="1:4">
      <c r="A6" s="2" t="s">
        <v>37</v>
      </c>
      <c r="B6" s="2"/>
      <c r="C6" s="2"/>
      <c r="D6" s="2"/>
    </row>
    <row r="7" spans="1:4">
      <c r="A7" s="2" t="s">
        <v>38</v>
      </c>
      <c r="B7" s="2">
        <f>'02_Raw_BS'!B3</f>
        <v>47871</v>
      </c>
      <c r="C7" s="2">
        <f>'02_Raw_BS'!C3</f>
        <v>50059</v>
      </c>
      <c r="D7" s="2">
        <f>'02_Raw_BS'!D3</f>
        <v>52867</v>
      </c>
    </row>
    <row r="8" spans="1:4">
      <c r="A8" s="2" t="s">
        <v>39</v>
      </c>
      <c r="B8" s="2"/>
      <c r="C8" s="2"/>
      <c r="D8" s="2"/>
    </row>
    <row r="9" spans="1:4">
      <c r="A9" s="2" t="s">
        <v>40</v>
      </c>
      <c r="B9" s="2"/>
      <c r="C9" s="2"/>
      <c r="D9" s="2"/>
    </row>
    <row r="10" spans="1:4">
      <c r="A10" s="2" t="s">
        <v>41</v>
      </c>
      <c r="B10" s="2"/>
      <c r="C10" s="2"/>
      <c r="D10" s="2"/>
    </row>
    <row r="11" spans="1:4">
      <c r="A11" s="2" t="s">
        <v>42</v>
      </c>
      <c r="B11" s="2"/>
      <c r="C11" s="2"/>
      <c r="D11" s="2"/>
    </row>
    <row r="12" spans="1:4">
      <c r="A12" s="2" t="s">
        <v>43</v>
      </c>
      <c r="B12" s="2"/>
      <c r="C12" s="2"/>
      <c r="D12" s="2"/>
    </row>
    <row r="13" spans="1:4">
      <c r="A13" s="2" t="s">
        <v>44</v>
      </c>
      <c r="B13" s="2"/>
      <c r="C13" s="2"/>
      <c r="D13" s="2"/>
    </row>
    <row r="14" spans="1:4">
      <c r="A14" s="2" t="s">
        <v>45</v>
      </c>
      <c r="B14" s="2">
        <f>'02_Raw_BS'!B2-B7</f>
        <v>54485</v>
      </c>
      <c r="C14" s="2">
        <f>'02_Raw_BS'!C2 - C7</f>
        <v>62269</v>
      </c>
      <c r="D14" s="2">
        <f>'02_Raw_BS'!D2 - D7</f>
        <v>72077</v>
      </c>
    </row>
    <row r="15" spans="1:4">
      <c r="A15" s="2" t="s">
        <v>18</v>
      </c>
      <c r="B15" s="2">
        <f>'02_Raw_BS'!B2</f>
        <v>102356</v>
      </c>
      <c r="C15" s="2">
        <f>'02_Raw_BS'!C2</f>
        <v>112328</v>
      </c>
      <c r="D15" s="2">
        <f>'02_Raw_BS'!D2</f>
        <v>124944</v>
      </c>
    </row>
    <row r="16" spans="1:4">
      <c r="A16" s="2" t="s">
        <v>46</v>
      </c>
      <c r="B16" s="2"/>
      <c r="C16" s="2"/>
      <c r="D16" s="2"/>
    </row>
    <row r="17" spans="1:4">
      <c r="A17" s="2" t="s">
        <v>47</v>
      </c>
      <c r="B17" s="2"/>
      <c r="C17" s="2"/>
      <c r="D17" s="2"/>
    </row>
    <row r="18" spans="1:4">
      <c r="A18" s="2" t="s">
        <v>48</v>
      </c>
      <c r="B18" s="2"/>
      <c r="C18" s="2"/>
      <c r="D18" s="2"/>
    </row>
    <row r="19" spans="1:4">
      <c r="A19" s="2" t="s">
        <v>49</v>
      </c>
      <c r="B19" s="2"/>
      <c r="C19" s="2"/>
      <c r="D19" s="2"/>
    </row>
    <row r="20" spans="1:4">
      <c r="A20" s="2" t="s">
        <v>22</v>
      </c>
      <c r="B20" s="2">
        <f>'02_Raw_BS'!B6</f>
        <v>26278</v>
      </c>
      <c r="C20" s="2">
        <f>'02_Raw_BS'!C6</f>
        <v>27724</v>
      </c>
      <c r="D20" s="2">
        <f>'02_Raw_BS'!D6</f>
        <v>30117</v>
      </c>
    </row>
    <row r="21" spans="1:4" ht="15.75" customHeight="1">
      <c r="A21" s="2" t="s">
        <v>24</v>
      </c>
      <c r="B21" s="2"/>
      <c r="C21" s="2"/>
      <c r="D21" s="2"/>
    </row>
    <row r="22" spans="1:4" ht="15.75" customHeight="1">
      <c r="A22" s="2" t="s">
        <v>50</v>
      </c>
      <c r="B22" s="2"/>
      <c r="C22" s="2"/>
      <c r="D22" s="2"/>
    </row>
    <row r="23" spans="1:4" ht="15.75" customHeight="1">
      <c r="A23" s="2" t="s">
        <v>51</v>
      </c>
      <c r="B23" s="2"/>
      <c r="C23" s="2"/>
      <c r="D23" s="2"/>
    </row>
    <row r="24" spans="1:4" ht="15.75" customHeight="1">
      <c r="A24" s="2" t="s">
        <v>52</v>
      </c>
      <c r="B24" s="2"/>
      <c r="C24" s="2"/>
      <c r="D24" s="2"/>
    </row>
    <row r="25" spans="1:4" ht="15.75" customHeight="1">
      <c r="A25" s="2" t="s">
        <v>53</v>
      </c>
      <c r="B25" s="2"/>
      <c r="C25" s="2"/>
      <c r="D25" s="2"/>
    </row>
    <row r="26" spans="1:4" ht="15.75" customHeight="1">
      <c r="A26" s="2" t="s">
        <v>54</v>
      </c>
      <c r="B26" s="2"/>
      <c r="C26" s="2"/>
      <c r="D26" s="2"/>
    </row>
    <row r="27" spans="1:4" ht="15.75" customHeight="1">
      <c r="A27" s="2" t="s">
        <v>55</v>
      </c>
      <c r="B27" s="2">
        <f>'02_Raw_BS'!B8</f>
        <v>37416</v>
      </c>
      <c r="C27" s="2">
        <f>'02_Raw_BS'!C8</f>
        <v>41538</v>
      </c>
      <c r="D27" s="2">
        <f>'02_Raw_BS'!D8</f>
        <v>44541</v>
      </c>
    </row>
    <row r="28" spans="1:4" ht="15.75" customHeight="1">
      <c r="A28" s="2" t="s">
        <v>56</v>
      </c>
      <c r="B28" s="2"/>
      <c r="C28" s="2"/>
      <c r="D28" s="2"/>
    </row>
    <row r="29" spans="1:4" ht="15.75" customHeight="1">
      <c r="A29" s="2" t="s">
        <v>57</v>
      </c>
      <c r="B29" s="2"/>
      <c r="C29" s="2"/>
      <c r="D29" s="2"/>
    </row>
    <row r="30" spans="1:4" ht="15.75" customHeight="1">
      <c r="A30" s="2" t="s">
        <v>58</v>
      </c>
      <c r="B30" s="2"/>
      <c r="C30" s="2"/>
      <c r="D30" s="2"/>
    </row>
    <row r="31" spans="1:4" ht="15.75" customHeight="1">
      <c r="A31" s="2" t="s">
        <v>59</v>
      </c>
      <c r="B31" s="2"/>
      <c r="C31" s="2"/>
      <c r="D31" s="2"/>
    </row>
    <row r="32" spans="1:4" ht="15.75" customHeight="1">
      <c r="A32" s="2" t="s">
        <v>60</v>
      </c>
      <c r="B32" s="2"/>
      <c r="C32" s="2"/>
      <c r="D32" s="2"/>
    </row>
    <row r="33" spans="1:4" ht="15.75" customHeight="1">
      <c r="A33" s="2" t="s">
        <v>61</v>
      </c>
      <c r="B33" s="2">
        <f>'02_Raw_BS'!B7 - B27</f>
        <v>38662</v>
      </c>
      <c r="C33" s="2">
        <f>'02_Raw_BS'!C7 - C27</f>
        <v>43066</v>
      </c>
      <c r="D33" s="2">
        <f>'02_Raw_BS'!D7 - D27</f>
        <v>50286</v>
      </c>
    </row>
    <row r="34" spans="1:4" ht="15.75" customHeight="1">
      <c r="A34" s="2" t="s">
        <v>23</v>
      </c>
      <c r="B34" s="2">
        <f>'02_Raw_BS'!B7</f>
        <v>76078</v>
      </c>
      <c r="C34" s="2">
        <f>'02_Raw_BS'!C7</f>
        <v>84604</v>
      </c>
      <c r="D34" s="2">
        <f>'02_Raw_BS'!D7</f>
        <v>94827</v>
      </c>
    </row>
    <row r="35" spans="1:4" ht="15.75" customHeight="1">
      <c r="A35" s="2" t="s">
        <v>62</v>
      </c>
      <c r="B35" s="2">
        <f t="shared" ref="B35:D35" si="0">B20 + B34</f>
        <v>102356</v>
      </c>
      <c r="C35" s="2">
        <f t="shared" si="0"/>
        <v>112328</v>
      </c>
      <c r="D35" s="2">
        <f t="shared" si="0"/>
        <v>124944</v>
      </c>
    </row>
    <row r="36" spans="1:4" ht="15.75" customHeight="1"/>
    <row r="37" spans="1:4" ht="15.75" customHeight="1"/>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workbookViewId="0">
      <selection activeCell="B7" sqref="B7"/>
    </sheetView>
  </sheetViews>
  <sheetFormatPr defaultColWidth="14.42578125" defaultRowHeight="15" customHeight="1"/>
  <cols>
    <col min="1" max="1" width="36.5703125" customWidth="1"/>
    <col min="2" max="4" width="9.7109375" customWidth="1"/>
    <col min="5" max="26" width="8.7109375" customWidth="1"/>
  </cols>
  <sheetData>
    <row r="1" spans="1:4">
      <c r="A1" s="2" t="s">
        <v>8</v>
      </c>
      <c r="B1" s="2" t="s">
        <v>5</v>
      </c>
      <c r="C1" s="2" t="s">
        <v>6</v>
      </c>
      <c r="D1" s="2" t="s">
        <v>7</v>
      </c>
    </row>
    <row r="2" spans="1:4">
      <c r="A2" s="2" t="s">
        <v>63</v>
      </c>
      <c r="B2" s="2"/>
      <c r="C2" s="2"/>
      <c r="D2" s="2"/>
    </row>
    <row r="3" spans="1:4">
      <c r="A3" s="2" t="s">
        <v>64</v>
      </c>
      <c r="B3" s="2"/>
      <c r="C3" s="2"/>
      <c r="D3" s="2"/>
    </row>
    <row r="4" spans="1:4">
      <c r="A4" s="2" t="s">
        <v>65</v>
      </c>
      <c r="B4" s="2"/>
      <c r="C4" s="2"/>
      <c r="D4" s="2"/>
    </row>
    <row r="5" spans="1:4" ht="29.25" customHeight="1">
      <c r="A5" s="7" t="s">
        <v>66</v>
      </c>
      <c r="B5" s="2"/>
      <c r="C5" s="2"/>
      <c r="D5" s="2"/>
    </row>
    <row r="6" spans="1:4">
      <c r="A6" s="2" t="s">
        <v>67</v>
      </c>
      <c r="B6" s="2"/>
      <c r="C6" s="2"/>
      <c r="D6" s="2"/>
    </row>
    <row r="7" spans="1:4">
      <c r="A7" s="2" t="s">
        <v>26</v>
      </c>
      <c r="B7" s="2">
        <f>'03_Raw_CF'!B2</f>
        <v>9831</v>
      </c>
      <c r="C7" s="2">
        <f>'03_Raw_CF'!C2</f>
        <v>13841</v>
      </c>
      <c r="D7" s="2">
        <f>'03_Raw_CF'!D2</f>
        <v>10984</v>
      </c>
    </row>
    <row r="8" spans="1:4">
      <c r="A8" s="2" t="s">
        <v>68</v>
      </c>
      <c r="B8" s="2"/>
      <c r="C8" s="2"/>
      <c r="D8" s="2"/>
    </row>
    <row r="9" spans="1:4">
      <c r="A9" s="2" t="s">
        <v>69</v>
      </c>
      <c r="B9" s="2">
        <v>6229</v>
      </c>
      <c r="C9" s="2">
        <v>6779</v>
      </c>
      <c r="D9" s="2">
        <v>7365</v>
      </c>
    </row>
    <row r="10" spans="1:4">
      <c r="A10" s="2" t="s">
        <v>70</v>
      </c>
      <c r="B10" s="2"/>
      <c r="C10" s="2"/>
      <c r="D10" s="2"/>
    </row>
    <row r="11" spans="1:4">
      <c r="A11" s="2" t="s">
        <v>27</v>
      </c>
      <c r="B11" s="2">
        <f>'03_Raw_CF'!B3</f>
        <v>6229</v>
      </c>
      <c r="C11" s="2">
        <f>'03_Raw_CF'!C3</f>
        <v>6779</v>
      </c>
      <c r="D11" s="2">
        <f>'03_Raw_CF'!D3</f>
        <v>7365</v>
      </c>
    </row>
    <row r="12" spans="1:4">
      <c r="A12" s="2" t="s">
        <v>71</v>
      </c>
      <c r="B12" s="2"/>
      <c r="C12" s="2"/>
      <c r="D12" s="2"/>
    </row>
    <row r="13" spans="1:4">
      <c r="A13" s="2" t="s">
        <v>72</v>
      </c>
      <c r="B13" s="2"/>
      <c r="C13" s="2"/>
      <c r="D13" s="2"/>
    </row>
    <row r="14" spans="1:4">
      <c r="A14" s="2" t="s">
        <v>73</v>
      </c>
      <c r="B14" s="2"/>
      <c r="C14" s="2"/>
      <c r="D14" s="2"/>
    </row>
    <row r="15" spans="1:4">
      <c r="A15" s="2" t="s">
        <v>74</v>
      </c>
      <c r="B15" s="2"/>
      <c r="C15" s="2"/>
      <c r="D15" s="2"/>
    </row>
    <row r="16" spans="1:4">
      <c r="A16" s="2" t="s">
        <v>75</v>
      </c>
      <c r="B16" s="2"/>
      <c r="C16" s="2"/>
      <c r="D16" s="2"/>
    </row>
    <row r="17" spans="1:4">
      <c r="A17" s="2" t="s">
        <v>28</v>
      </c>
      <c r="B17" s="2">
        <f>'03_Raw_CF'!B4</f>
        <v>2855</v>
      </c>
      <c r="C17" s="2">
        <f>'03_Raw_CF'!C4</f>
        <v>4012</v>
      </c>
      <c r="D17" s="2">
        <f>'03_Raw_CF'!D4</f>
        <v>4298</v>
      </c>
    </row>
    <row r="18" spans="1:4">
      <c r="A18" s="2" t="s">
        <v>76</v>
      </c>
      <c r="B18" s="2">
        <f>'03_Raw_CF'!B5</f>
        <v>747</v>
      </c>
      <c r="C18" s="2">
        <f>'03_Raw_CF'!C5</f>
        <v>3050</v>
      </c>
      <c r="D18" s="2">
        <f>'03_Raw_CF'!D5</f>
        <v>679</v>
      </c>
    </row>
    <row r="19" spans="1:4">
      <c r="A19" s="2" t="s">
        <v>77</v>
      </c>
      <c r="B19" s="2">
        <f t="shared" ref="B19:D19" si="0">B20-B18</f>
        <v>11801</v>
      </c>
      <c r="C19" s="2">
        <f t="shared" si="0"/>
        <v>8682</v>
      </c>
      <c r="D19" s="2">
        <f t="shared" si="0"/>
        <v>9267</v>
      </c>
    </row>
    <row r="20" spans="1:4">
      <c r="A20" s="2" t="s">
        <v>78</v>
      </c>
      <c r="B20" s="2">
        <f>'02_Raw_BS'!B4</f>
        <v>12548</v>
      </c>
      <c r="C20" s="2">
        <f>'02_Raw_BS'!C4</f>
        <v>11732</v>
      </c>
      <c r="D20" s="2">
        <f>'02_Raw_BS'!D4</f>
        <v>9946</v>
      </c>
    </row>
    <row r="21" spans="1:4" ht="15.75" customHeight="1"/>
    <row r="22" spans="1:4" ht="15.75" customHeight="1"/>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workbookViewId="0">
      <selection activeCell="F8" sqref="F8"/>
    </sheetView>
  </sheetViews>
  <sheetFormatPr defaultColWidth="14.42578125" defaultRowHeight="15" customHeight="1"/>
  <cols>
    <col min="1" max="1" width="25.5703125" customWidth="1"/>
    <col min="2" max="4" width="9.7109375" customWidth="1"/>
    <col min="5" max="26" width="8.7109375" customWidth="1"/>
  </cols>
  <sheetData>
    <row r="1" spans="1:4">
      <c r="A1" s="1" t="s">
        <v>79</v>
      </c>
      <c r="B1" s="1" t="s">
        <v>5</v>
      </c>
      <c r="C1" s="1" t="s">
        <v>6</v>
      </c>
      <c r="D1" s="1" t="s">
        <v>7</v>
      </c>
    </row>
    <row r="2" spans="1:4">
      <c r="A2" s="2" t="s">
        <v>30</v>
      </c>
      <c r="B2" s="9">
        <f>'04_Clean_IS'!B6</f>
        <v>0.24054225050708053</v>
      </c>
      <c r="C2" s="9">
        <f>'04_Clean_IS'!C6</f>
        <v>0.23990727739512624</v>
      </c>
      <c r="D2" s="9">
        <f>'04_Clean_IS'!D6</f>
        <v>0.24314110351759588</v>
      </c>
    </row>
    <row r="3" spans="1:4">
      <c r="A3" s="2" t="s">
        <v>31</v>
      </c>
      <c r="B3" s="9">
        <f>'04_Clean_IS'!B8</f>
        <v>5.6229216963512962E-2</v>
      </c>
      <c r="C3" s="9">
        <f>'04_Clean_IS'!C8</f>
        <v>5.3461854178688407E-2</v>
      </c>
      <c r="D3" s="9">
        <f>'04_Clean_IS'!D8</f>
        <v>5.8216002680359355E-2</v>
      </c>
    </row>
    <row r="4" spans="1:4">
      <c r="A4" s="2" t="s">
        <v>34</v>
      </c>
      <c r="B4" s="9">
        <f>'04_Clean_IS'!B14</f>
        <v>2.8788776021500477E-2</v>
      </c>
      <c r="C4" s="9">
        <f>'04_Clean_IS'!C14</f>
        <v>2.6588698076251006E-2</v>
      </c>
      <c r="D4" s="9">
        <f>'04_Clean_IS'!D14</f>
        <v>2.8798279583297622E-2</v>
      </c>
    </row>
    <row r="5" spans="1:4">
      <c r="A5" s="2"/>
      <c r="B5" s="2"/>
      <c r="C5" s="2"/>
      <c r="D5" s="2"/>
    </row>
    <row r="6" spans="1:4">
      <c r="A6" s="2" t="s">
        <v>80</v>
      </c>
      <c r="B6" s="9">
        <f>'04_Clean_IS'!B13 / '05_Clean_BS'!B15</f>
        <v>6.1745281175505103E-2</v>
      </c>
      <c r="C6" s="9">
        <f>'04_Clean_IS'!C13 / '05_Clean_BS'!C15</f>
        <v>5.8249056335018874E-2</v>
      </c>
      <c r="D6" s="9">
        <f>'04_Clean_IS'!D13 / '05_Clean_BS'!D15</f>
        <v>5.9162504802151364E-2</v>
      </c>
    </row>
    <row r="7" spans="1:4">
      <c r="A7" s="2" t="s">
        <v>81</v>
      </c>
      <c r="B7" s="9">
        <f>'04_Clean_IS'!B13 / '05_Clean_BS'!B20</f>
        <v>0.2405053657051526</v>
      </c>
      <c r="C7" s="9">
        <f>'04_Clean_IS'!C13 / '05_Clean_BS'!C20</f>
        <v>0.23600490549704228</v>
      </c>
      <c r="D7" s="9">
        <f>'04_Clean_IS'!D13 / '05_Clean_BS'!D20</f>
        <v>0.24544277318458013</v>
      </c>
    </row>
    <row r="8" spans="1:4">
      <c r="A8" s="2"/>
      <c r="B8" s="2"/>
      <c r="C8" s="2"/>
      <c r="D8" s="2"/>
    </row>
    <row r="9" spans="1:4">
      <c r="A9" s="2" t="s">
        <v>82</v>
      </c>
      <c r="B9" s="3">
        <f>'05_Clean_BS'!B7 / '05_Clean_BS'!B27</f>
        <v>1.2794259140474664</v>
      </c>
      <c r="C9" s="3">
        <f>'05_Clean_BS'!C7 / '05_Clean_BS'!C27</f>
        <v>1.2051374644903461</v>
      </c>
      <c r="D9" s="3">
        <f>'05_Clean_BS'!D7 / '05_Clean_BS'!D27</f>
        <v>1.1869288969713299</v>
      </c>
    </row>
    <row r="10" spans="1:4">
      <c r="A10" s="2" t="s">
        <v>83</v>
      </c>
      <c r="B10" s="3">
        <f>'05_Clean_BS'!B3 / '05_Clean_BS'!B27</f>
        <v>0.33536454992516568</v>
      </c>
      <c r="C10" s="3">
        <f>'05_Clean_BS'!C3 / '05_Clean_BS'!C27</f>
        <v>0.28244017526120663</v>
      </c>
      <c r="D10" s="3">
        <f>'05_Clean_BS'!D3 / '05_Clean_BS'!D27</f>
        <v>0.223299881008509</v>
      </c>
    </row>
    <row r="11" spans="1:4">
      <c r="A11" s="2"/>
      <c r="B11" s="2"/>
      <c r="C11" s="2"/>
      <c r="D11" s="2"/>
    </row>
    <row r="12" spans="1:4">
      <c r="A12" s="2" t="s">
        <v>84</v>
      </c>
      <c r="B12" s="3">
        <f>'05_Clean_BS'!B34 / '05_Clean_BS'!B20</f>
        <v>2.8951213943222469</v>
      </c>
      <c r="C12" s="3">
        <f>'05_Clean_BS'!C34 / '05_Clean_BS'!C20</f>
        <v>3.0516519982686483</v>
      </c>
      <c r="D12" s="3">
        <f>'05_Clean_BS'!D34 / '05_Clean_BS'!D20</f>
        <v>3.1486203805159878</v>
      </c>
    </row>
    <row r="13" spans="1:4">
      <c r="A13" s="2" t="s">
        <v>85</v>
      </c>
      <c r="B13" s="3">
        <f>'05_Clean_BS'!B34 / '05_Clean_BS'!B15</f>
        <v>0.74326859197311346</v>
      </c>
      <c r="C13" s="3">
        <f>'05_Clean_BS'!C34 / '05_Clean_BS'!C15</f>
        <v>0.75318709493625813</v>
      </c>
      <c r="D13" s="3">
        <f>'05_Clean_BS'!D34 / '05_Clean_BS'!D15</f>
        <v>0.75895601229350751</v>
      </c>
    </row>
    <row r="14" spans="1:4">
      <c r="A14" s="2"/>
      <c r="B14" s="2"/>
      <c r="C14" s="2"/>
      <c r="D14" s="2"/>
    </row>
    <row r="15" spans="1:4">
      <c r="A15" s="2" t="s">
        <v>86</v>
      </c>
      <c r="B15" s="4">
        <f>'06_Clean_CF'!B7 / '04_Clean_IS'!B2</f>
        <v>4.478203434610304E-2</v>
      </c>
      <c r="C15" s="4">
        <f>'06_Clean_CF'!C7 / '04_Clean_IS'!C2</f>
        <v>5.6245479149226681E-2</v>
      </c>
      <c r="D15" s="4">
        <f>'06_Clean_CF'!D7 / '04_Clean_IS'!D2</f>
        <v>4.279224877474852E-2</v>
      </c>
    </row>
    <row r="16" spans="1:4">
      <c r="A16" s="2" t="s">
        <v>87</v>
      </c>
      <c r="B16" s="3">
        <f>'06_Clean_CF'!B7 / '04_Clean_IS'!B13</f>
        <v>1.5555379746835443</v>
      </c>
      <c r="C16" s="3">
        <f>'06_Clean_CF'!C7 / '04_Clean_IS'!C13</f>
        <v>2.1153904936573436</v>
      </c>
      <c r="D16" s="3">
        <f>'06_Clean_CF'!D7 / '04_Clean_IS'!D13</f>
        <v>1.4859307359307359</v>
      </c>
    </row>
    <row r="18" spans="1:4">
      <c r="A18" s="5" t="s">
        <v>88</v>
      </c>
      <c r="B18" s="5">
        <v>3602</v>
      </c>
      <c r="C18" s="5">
        <v>7062</v>
      </c>
      <c r="D18" s="5">
        <v>3619</v>
      </c>
    </row>
    <row r="19" spans="1:4">
      <c r="A19" s="5" t="s">
        <v>89</v>
      </c>
      <c r="B19" s="11">
        <v>1.640778025782353E-2</v>
      </c>
      <c r="C19" s="11">
        <v>2.8697751156118691E-2</v>
      </c>
      <c r="D19" s="11">
        <v>1.409915771265613E-2</v>
      </c>
    </row>
    <row r="20" spans="1:4">
      <c r="A20" s="5" t="s">
        <v>90</v>
      </c>
      <c r="B20" s="12">
        <v>0.56993670886075953</v>
      </c>
      <c r="C20" s="12">
        <v>1.07932141219624</v>
      </c>
      <c r="D20" s="12">
        <v>0.48958333333333331</v>
      </c>
    </row>
    <row r="21" spans="1:4" ht="15.75" customHeight="1"/>
    <row r="22" spans="1:4" ht="15.75" customHeight="1"/>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election activeCell="E15" sqref="E15:F15"/>
    </sheetView>
  </sheetViews>
  <sheetFormatPr defaultColWidth="14.42578125" defaultRowHeight="15" customHeight="1"/>
  <cols>
    <col min="1" max="1" width="24.85546875" customWidth="1"/>
    <col min="2" max="4" width="9.7109375" customWidth="1"/>
    <col min="5" max="6" width="16.42578125" customWidth="1"/>
    <col min="7" max="26" width="8.7109375" customWidth="1"/>
  </cols>
  <sheetData>
    <row r="1" spans="1:6">
      <c r="A1" s="2" t="s">
        <v>91</v>
      </c>
      <c r="B1" s="2" t="s">
        <v>5</v>
      </c>
      <c r="C1" s="2" t="s">
        <v>6</v>
      </c>
      <c r="D1" s="2" t="s">
        <v>7</v>
      </c>
      <c r="E1" s="2" t="s">
        <v>92</v>
      </c>
      <c r="F1" s="2" t="s">
        <v>93</v>
      </c>
    </row>
    <row r="2" spans="1:6">
      <c r="A2" s="2" t="s">
        <v>9</v>
      </c>
      <c r="B2" s="2">
        <f>'04_Clean_IS'!B2</f>
        <v>219530</v>
      </c>
      <c r="C2" s="2">
        <f>'04_Clean_IS'!C2</f>
        <v>246082</v>
      </c>
      <c r="D2" s="2">
        <f>'04_Clean_IS'!D2</f>
        <v>256682</v>
      </c>
      <c r="E2" s="9">
        <f t="shared" ref="E2:F2" si="0">(C2/B2)-1</f>
        <v>0.12094930077893684</v>
      </c>
      <c r="F2" s="9">
        <f t="shared" si="0"/>
        <v>4.3075072536796766E-2</v>
      </c>
    </row>
    <row r="3" spans="1:6">
      <c r="A3" s="2" t="s">
        <v>12</v>
      </c>
      <c r="B3" s="2">
        <f>'04_Clean_IS'!B5</f>
        <v>51706</v>
      </c>
      <c r="C3" s="2">
        <f>'04_Clean_IS'!C5</f>
        <v>57750</v>
      </c>
      <c r="D3" s="2">
        <f>'04_Clean_IS'!D5</f>
        <v>61442</v>
      </c>
      <c r="E3" s="9">
        <f t="shared" ref="E3:F3" si="1">(C3/B3)-1</f>
        <v>0.1168916566742737</v>
      </c>
      <c r="F3" s="9">
        <f t="shared" si="1"/>
        <v>6.3930735930735949E-2</v>
      </c>
    </row>
    <row r="4" spans="1:6">
      <c r="A4" s="2" t="s">
        <v>13</v>
      </c>
      <c r="B4" s="2">
        <f>'04_Clean_IS'!B7</f>
        <v>12344</v>
      </c>
      <c r="C4" s="2">
        <f>'04_Clean_IS'!C7</f>
        <v>13156</v>
      </c>
      <c r="D4" s="2">
        <f>'04_Clean_IS'!D7</f>
        <v>14943</v>
      </c>
      <c r="E4" s="9">
        <f t="shared" ref="E4:F4" si="2">(C4/B4)-1</f>
        <v>6.5780946208684465E-2</v>
      </c>
      <c r="F4" s="9">
        <f t="shared" si="2"/>
        <v>0.13583155974460315</v>
      </c>
    </row>
    <row r="5" spans="1:6">
      <c r="A5" s="2" t="s">
        <v>17</v>
      </c>
      <c r="B5" s="2">
        <f>'04_Clean_IS'!B13</f>
        <v>6320</v>
      </c>
      <c r="C5" s="2">
        <f>'04_Clean_IS'!C13</f>
        <v>6543</v>
      </c>
      <c r="D5" s="2">
        <f>'04_Clean_IS'!D13</f>
        <v>7392</v>
      </c>
      <c r="E5" s="9">
        <f t="shared" ref="E5:F5" si="3">(C5/B5)-1</f>
        <v>3.5284810126582355E-2</v>
      </c>
      <c r="F5" s="9">
        <f t="shared" si="3"/>
        <v>0.12975699220541026</v>
      </c>
    </row>
    <row r="6" spans="1:6">
      <c r="A6" s="2" t="s">
        <v>30</v>
      </c>
      <c r="B6" s="9">
        <f>'04_Clean_IS'!B6</f>
        <v>0.24054225050708053</v>
      </c>
      <c r="C6" s="9">
        <f>'04_Clean_IS'!C6</f>
        <v>0.23990727739512624</v>
      </c>
      <c r="D6" s="9">
        <f>'04_Clean_IS'!D6</f>
        <v>0.24314110351759588</v>
      </c>
      <c r="E6" s="9">
        <f t="shared" ref="E6:F6" si="4">(C6/B6)-1</f>
        <v>-2.639757093050088E-3</v>
      </c>
      <c r="F6" s="9">
        <f t="shared" si="4"/>
        <v>1.3479483230279588E-2</v>
      </c>
    </row>
    <row r="7" spans="1:6">
      <c r="A7" s="2" t="s">
        <v>31</v>
      </c>
      <c r="B7" s="9">
        <f>'04_Clean_IS'!B8</f>
        <v>5.6229216963512962E-2</v>
      </c>
      <c r="C7" s="9">
        <f>'04_Clean_IS'!C8</f>
        <v>5.3461854178688407E-2</v>
      </c>
      <c r="D7" s="9">
        <f>'04_Clean_IS'!D8</f>
        <v>5.8216002680359355E-2</v>
      </c>
      <c r="E7" s="9">
        <f t="shared" ref="E7:F7" si="5">(C7/B7)-1</f>
        <v>-4.9215744665629835E-2</v>
      </c>
      <c r="F7" s="9">
        <f t="shared" si="5"/>
        <v>8.8925993583778506E-2</v>
      </c>
    </row>
    <row r="8" spans="1:6">
      <c r="A8" s="2" t="s">
        <v>34</v>
      </c>
      <c r="B8" s="9">
        <f>'04_Clean_IS'!B14</f>
        <v>2.8788776021500477E-2</v>
      </c>
      <c r="C8" s="9">
        <f>'04_Clean_IS'!C14</f>
        <v>2.6588698076251006E-2</v>
      </c>
      <c r="D8" s="9">
        <f>'04_Clean_IS'!D14</f>
        <v>2.8798279583297622E-2</v>
      </c>
      <c r="E8" s="9">
        <f t="shared" ref="E8:F8" si="6">(C8/B8)-1</f>
        <v>-7.6421378373515259E-2</v>
      </c>
      <c r="F8" s="9">
        <f t="shared" si="6"/>
        <v>8.3102282808657391E-2</v>
      </c>
    </row>
    <row r="9" spans="1:6">
      <c r="A9" s="2"/>
      <c r="B9" s="2"/>
      <c r="C9" s="2"/>
      <c r="D9" s="2"/>
      <c r="E9" s="2"/>
      <c r="F9" s="2"/>
    </row>
    <row r="10" spans="1:6">
      <c r="A10" s="2" t="s">
        <v>18</v>
      </c>
      <c r="B10" s="2">
        <f>'05_Clean_BS'!B15</f>
        <v>102356</v>
      </c>
      <c r="C10" s="2">
        <f>'05_Clean_BS'!C15</f>
        <v>112328</v>
      </c>
      <c r="D10" s="2">
        <f>'05_Clean_BS'!D15</f>
        <v>124944</v>
      </c>
      <c r="E10" s="9">
        <f t="shared" ref="E10:F10" si="7">(C10/B10)-1</f>
        <v>9.7424674664895017E-2</v>
      </c>
      <c r="F10" s="9">
        <f t="shared" si="7"/>
        <v>0.11231393775372123</v>
      </c>
    </row>
    <row r="11" spans="1:6">
      <c r="A11" s="2" t="s">
        <v>22</v>
      </c>
      <c r="B11" s="2">
        <f>'05_Clean_BS'!B20</f>
        <v>26278</v>
      </c>
      <c r="C11" s="2">
        <f>'05_Clean_BS'!C20</f>
        <v>27724</v>
      </c>
      <c r="D11" s="2">
        <f>'05_Clean_BS'!D20</f>
        <v>30117</v>
      </c>
      <c r="E11" s="9">
        <f t="shared" ref="E11:F11" si="8">(C11/B11)-1</f>
        <v>5.5027018798995408E-2</v>
      </c>
      <c r="F11" s="9">
        <f t="shared" si="8"/>
        <v>8.6315106045303791E-2</v>
      </c>
    </row>
    <row r="12" spans="1:6">
      <c r="A12" s="2" t="s">
        <v>23</v>
      </c>
      <c r="B12" s="2">
        <f>'05_Clean_BS'!B34</f>
        <v>76078</v>
      </c>
      <c r="C12" s="2">
        <f>'05_Clean_BS'!C34</f>
        <v>84604</v>
      </c>
      <c r="D12" s="2">
        <f>'05_Clean_BS'!D34</f>
        <v>94827</v>
      </c>
      <c r="E12" s="9">
        <f t="shared" ref="E12:F12" si="9">(C12/B12)-1</f>
        <v>0.11206919214490396</v>
      </c>
      <c r="F12" s="9">
        <f t="shared" si="9"/>
        <v>0.12083353032953514</v>
      </c>
    </row>
    <row r="13" spans="1:6">
      <c r="A13" s="2"/>
      <c r="B13" s="2"/>
      <c r="C13" s="2"/>
      <c r="D13" s="2"/>
      <c r="E13" s="2"/>
      <c r="F13" s="2"/>
    </row>
    <row r="14" spans="1:6">
      <c r="A14" s="2" t="s">
        <v>94</v>
      </c>
      <c r="B14" s="2">
        <f>'06_Clean_CF'!B7</f>
        <v>9831</v>
      </c>
      <c r="C14" s="2">
        <f>'06_Clean_CF'!C7</f>
        <v>13841</v>
      </c>
      <c r="D14" s="2">
        <f>'06_Clean_CF'!D7</f>
        <v>10984</v>
      </c>
      <c r="E14" s="9">
        <f t="shared" ref="E14:F14" si="10">(C14/B14)-1</f>
        <v>0.40789339843352668</v>
      </c>
      <c r="F14" s="9">
        <f t="shared" si="10"/>
        <v>-0.20641572140741271</v>
      </c>
    </row>
    <row r="15" spans="1:6">
      <c r="A15" s="2" t="s">
        <v>69</v>
      </c>
      <c r="B15" s="2">
        <v>6229</v>
      </c>
      <c r="C15" s="2">
        <v>6779</v>
      </c>
      <c r="D15" s="2">
        <v>7365</v>
      </c>
      <c r="E15" s="4">
        <v>8.8296676834162785E-2</v>
      </c>
      <c r="F15" s="4">
        <v>8.6443428234252842E-2</v>
      </c>
    </row>
    <row r="16" spans="1:6">
      <c r="A16" s="2" t="s">
        <v>95</v>
      </c>
      <c r="B16" s="2">
        <v>3602</v>
      </c>
      <c r="C16" s="2">
        <v>7062</v>
      </c>
      <c r="D16" s="2">
        <v>3619</v>
      </c>
      <c r="E16" s="9">
        <v>0.96057745696835095</v>
      </c>
      <c r="F16" s="9">
        <v>-0.48753894080996879</v>
      </c>
    </row>
    <row r="17" spans="1:6">
      <c r="A17" s="2"/>
      <c r="B17" s="2"/>
      <c r="C17" s="2"/>
      <c r="D17" s="2"/>
      <c r="E17" s="2"/>
      <c r="F17" s="2"/>
    </row>
    <row r="18" spans="1:6">
      <c r="A18" s="2" t="s">
        <v>96</v>
      </c>
      <c r="B18" s="9">
        <f>'07_Ratios'!B6</f>
        <v>6.1745281175505103E-2</v>
      </c>
      <c r="C18" s="9">
        <f>'07_Ratios'!C6</f>
        <v>5.8249056335018874E-2</v>
      </c>
      <c r="D18" s="9">
        <f>'07_Ratios'!D6</f>
        <v>5.9162504802151364E-2</v>
      </c>
      <c r="E18" s="9">
        <f t="shared" ref="E18:F18" si="11">(C18/B18)-1</f>
        <v>-5.6623352812153249E-2</v>
      </c>
      <c r="F18" s="9">
        <f t="shared" si="11"/>
        <v>1.5681772797808025E-2</v>
      </c>
    </row>
    <row r="19" spans="1:6">
      <c r="A19" s="2" t="s">
        <v>97</v>
      </c>
      <c r="B19" s="9">
        <f>'07_Ratios'!B7</f>
        <v>0.2405053657051526</v>
      </c>
      <c r="C19" s="9">
        <f>'07_Ratios'!C7</f>
        <v>0.23600490549704228</v>
      </c>
      <c r="D19" s="9">
        <f>'07_Ratios'!D7</f>
        <v>0.24544277318458013</v>
      </c>
      <c r="E19" s="9">
        <f t="shared" ref="E19:F19" si="12">(C19/B19)-1</f>
        <v>-1.8712514770367505E-2</v>
      </c>
      <c r="F19" s="9">
        <f t="shared" si="12"/>
        <v>3.9990133542610273E-2</v>
      </c>
    </row>
    <row r="20" spans="1:6">
      <c r="A20" s="2" t="s">
        <v>82</v>
      </c>
      <c r="B20" s="3">
        <f>'07_Ratios'!B9</f>
        <v>1.2794259140474664</v>
      </c>
      <c r="C20" s="3">
        <f>'07_Ratios'!C9</f>
        <v>1.2051374644903461</v>
      </c>
      <c r="D20" s="3">
        <f>'07_Ratios'!D9</f>
        <v>1.1869288969713299</v>
      </c>
      <c r="E20" s="9">
        <f t="shared" ref="E20:F20" si="13">(C20/B20)-1</f>
        <v>-5.8063893142595968E-2</v>
      </c>
      <c r="F20" s="9">
        <f t="shared" si="13"/>
        <v>-1.5109120789566277E-2</v>
      </c>
    </row>
    <row r="21" spans="1:6" ht="15.75" customHeight="1">
      <c r="A21" s="2" t="s">
        <v>84</v>
      </c>
      <c r="B21" s="3">
        <f>'07_Ratios'!B12</f>
        <v>2.8951213943222469</v>
      </c>
      <c r="C21" s="3">
        <f>'07_Ratios'!C12</f>
        <v>3.0516519982686483</v>
      </c>
      <c r="D21" s="3">
        <f>'07_Ratios'!D12</f>
        <v>3.1486203805159878</v>
      </c>
      <c r="E21" s="9">
        <f t="shared" ref="E21:F21" si="14">(C21/B21)-1</f>
        <v>5.4067026085117043E-2</v>
      </c>
      <c r="F21" s="9">
        <f t="shared" si="14"/>
        <v>3.1775701260285949E-2</v>
      </c>
    </row>
    <row r="22" spans="1:6" ht="15.75" customHeight="1">
      <c r="A22" s="2" t="s">
        <v>86</v>
      </c>
      <c r="B22" s="4">
        <f>'07_Ratios'!B15</f>
        <v>4.478203434610304E-2</v>
      </c>
      <c r="C22" s="4">
        <f>'07_Ratios'!C15</f>
        <v>5.6245479149226681E-2</v>
      </c>
      <c r="D22" s="4">
        <f>'07_Ratios'!D15</f>
        <v>4.279224877474852E-2</v>
      </c>
      <c r="E22" s="4">
        <f t="shared" ref="E22:F22" si="15">(C22/B22)-1</f>
        <v>0.2559831184650323</v>
      </c>
      <c r="F22" s="4">
        <f t="shared" si="15"/>
        <v>-0.23918776367403616</v>
      </c>
    </row>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8A39C-DE4C-4AA3-BA0C-B746239F8F76}">
  <dimension ref="A1:L39"/>
  <sheetViews>
    <sheetView tabSelected="1" topLeftCell="A32" workbookViewId="0">
      <selection activeCell="O48" sqref="O48"/>
    </sheetView>
  </sheetViews>
  <sheetFormatPr defaultRowHeight="15"/>
  <cols>
    <col min="1" max="1" width="21.5703125" bestFit="1" customWidth="1"/>
  </cols>
  <sheetData>
    <row r="1" spans="1:12" ht="18.75">
      <c r="A1" s="15" t="s">
        <v>98</v>
      </c>
      <c r="B1" s="35"/>
      <c r="C1" s="35"/>
      <c r="D1" s="35"/>
      <c r="E1" s="35"/>
      <c r="F1" s="35"/>
      <c r="G1" s="35"/>
      <c r="H1" s="35"/>
      <c r="I1" s="35"/>
      <c r="J1" s="35"/>
      <c r="K1" s="35"/>
      <c r="L1" s="35"/>
    </row>
    <row r="2" spans="1:12">
      <c r="A2" s="16" t="s">
        <v>99</v>
      </c>
      <c r="B2" s="35"/>
      <c r="C2" s="35"/>
      <c r="D2" s="35"/>
      <c r="E2" s="35"/>
      <c r="F2" s="35"/>
      <c r="G2" s="35"/>
      <c r="H2" s="35"/>
      <c r="I2" s="35"/>
      <c r="J2" s="35"/>
      <c r="K2" s="35"/>
      <c r="L2" s="35"/>
    </row>
    <row r="3" spans="1:12">
      <c r="A3" s="2"/>
      <c r="B3" s="2"/>
      <c r="C3" s="2"/>
      <c r="D3" s="2"/>
      <c r="E3" s="2"/>
      <c r="F3" s="2"/>
      <c r="G3" s="2"/>
      <c r="H3" s="2"/>
      <c r="I3" s="2"/>
      <c r="J3" s="2"/>
      <c r="K3" s="2"/>
      <c r="L3" s="2"/>
    </row>
    <row r="4" spans="1:12" ht="31.5" customHeight="1">
      <c r="A4" s="17" t="s">
        <v>100</v>
      </c>
      <c r="B4" s="36"/>
      <c r="C4" s="17" t="s">
        <v>101</v>
      </c>
      <c r="D4" s="36"/>
      <c r="E4" s="17" t="s">
        <v>102</v>
      </c>
      <c r="F4" s="36"/>
      <c r="G4" s="17" t="s">
        <v>103</v>
      </c>
      <c r="H4" s="36"/>
      <c r="I4" s="17" t="s">
        <v>104</v>
      </c>
      <c r="J4" s="36"/>
      <c r="K4" s="17" t="s">
        <v>105</v>
      </c>
      <c r="L4" s="36"/>
    </row>
    <row r="5" spans="1:12" ht="15" customHeight="1">
      <c r="A5" s="18" t="s">
        <v>106</v>
      </c>
      <c r="B5" s="35"/>
      <c r="C5" s="18" t="s">
        <v>107</v>
      </c>
      <c r="D5" s="35"/>
      <c r="E5" s="18" t="s">
        <v>108</v>
      </c>
      <c r="F5" s="35"/>
      <c r="G5" s="18" t="s">
        <v>109</v>
      </c>
      <c r="H5" s="35"/>
      <c r="I5" s="18" t="s">
        <v>110</v>
      </c>
      <c r="J5" s="35"/>
      <c r="K5" s="18" t="s">
        <v>111</v>
      </c>
      <c r="L5" s="35"/>
    </row>
    <row r="7" spans="1:12">
      <c r="A7" s="2"/>
      <c r="B7" s="2"/>
      <c r="C7" s="2"/>
      <c r="D7" s="2"/>
      <c r="E7" s="2"/>
      <c r="F7" s="2"/>
      <c r="G7" s="2"/>
      <c r="H7" s="2"/>
      <c r="I7" s="2"/>
      <c r="J7" s="2"/>
      <c r="K7" s="2"/>
      <c r="L7" s="2"/>
    </row>
    <row r="8" spans="1:12">
      <c r="A8" s="19" t="s">
        <v>112</v>
      </c>
      <c r="B8" s="35"/>
      <c r="C8" s="35"/>
      <c r="D8" s="35"/>
      <c r="E8" s="2"/>
      <c r="F8" s="2"/>
      <c r="G8" s="2"/>
      <c r="H8" s="2"/>
      <c r="I8" s="2"/>
      <c r="J8" s="2"/>
      <c r="K8" s="2"/>
      <c r="L8" s="2"/>
    </row>
    <row r="9" spans="1:12">
      <c r="A9" s="20" t="s">
        <v>91</v>
      </c>
      <c r="B9" s="20" t="s">
        <v>5</v>
      </c>
      <c r="C9" s="20" t="s">
        <v>6</v>
      </c>
      <c r="D9" s="20" t="s">
        <v>7</v>
      </c>
      <c r="E9" s="2"/>
      <c r="F9" s="2"/>
      <c r="G9" s="2"/>
      <c r="H9" s="2"/>
      <c r="I9" s="2"/>
      <c r="J9" s="2"/>
      <c r="K9" s="2"/>
      <c r="L9" s="2"/>
    </row>
    <row r="10" spans="1:12">
      <c r="A10" s="21" t="s">
        <v>9</v>
      </c>
      <c r="B10" s="22">
        <v>219530</v>
      </c>
      <c r="C10" s="22">
        <v>246082</v>
      </c>
      <c r="D10" s="22">
        <v>256682</v>
      </c>
      <c r="E10" s="2"/>
      <c r="F10" s="2"/>
      <c r="G10" s="2"/>
      <c r="H10" s="2"/>
      <c r="I10" s="2"/>
      <c r="J10" s="2"/>
      <c r="K10" s="2"/>
      <c r="L10" s="2"/>
    </row>
    <row r="11" spans="1:12">
      <c r="A11" s="23" t="s">
        <v>113</v>
      </c>
      <c r="B11" s="24">
        <v>52249</v>
      </c>
      <c r="C11" s="24">
        <v>59327</v>
      </c>
      <c r="D11" s="24">
        <v>62376</v>
      </c>
      <c r="E11" s="2"/>
      <c r="F11" s="2"/>
      <c r="G11" s="2"/>
      <c r="H11" s="2"/>
      <c r="I11" s="2"/>
      <c r="J11" s="2"/>
      <c r="K11" s="2"/>
      <c r="L11" s="2"/>
    </row>
    <row r="12" spans="1:12">
      <c r="A12" s="21" t="s">
        <v>114</v>
      </c>
      <c r="B12" s="25">
        <v>0.23799999999999999</v>
      </c>
      <c r="C12" s="25">
        <v>0.24099999999999999</v>
      </c>
      <c r="D12" s="25">
        <v>0.24299999999999999</v>
      </c>
      <c r="E12" s="2"/>
      <c r="F12" s="2"/>
      <c r="G12" s="2"/>
      <c r="H12" s="2"/>
      <c r="I12" s="2"/>
      <c r="J12" s="2"/>
      <c r="K12" s="2"/>
      <c r="L12" s="2"/>
    </row>
    <row r="13" spans="1:12">
      <c r="A13" s="23" t="s">
        <v>115</v>
      </c>
      <c r="B13" s="24">
        <v>12344</v>
      </c>
      <c r="C13" s="24">
        <v>14210</v>
      </c>
      <c r="D13" s="24">
        <v>14943</v>
      </c>
      <c r="E13" s="2"/>
      <c r="F13" s="2"/>
      <c r="G13" s="2"/>
      <c r="H13" s="2"/>
      <c r="I13" s="2"/>
      <c r="J13" s="2"/>
      <c r="K13" s="2"/>
      <c r="L13" s="2"/>
    </row>
    <row r="14" spans="1:12">
      <c r="A14" s="21" t="s">
        <v>116</v>
      </c>
      <c r="B14" s="25">
        <v>5.62E-2</v>
      </c>
      <c r="C14" s="25">
        <v>5.7799999999999997E-2</v>
      </c>
      <c r="D14" s="25">
        <v>5.8200000000000002E-2</v>
      </c>
      <c r="E14" s="2"/>
      <c r="F14" s="2"/>
      <c r="G14" s="2"/>
      <c r="H14" s="2"/>
      <c r="I14" s="2"/>
      <c r="J14" s="2"/>
      <c r="K14" s="2"/>
      <c r="L14" s="2"/>
    </row>
    <row r="15" spans="1:12">
      <c r="A15" s="23" t="s">
        <v>117</v>
      </c>
      <c r="B15" s="24">
        <v>6320</v>
      </c>
      <c r="C15" s="24">
        <v>6543</v>
      </c>
      <c r="D15" s="24">
        <v>7392</v>
      </c>
      <c r="E15" s="2"/>
      <c r="F15" s="2"/>
      <c r="G15" s="2"/>
      <c r="H15" s="2"/>
      <c r="I15" s="2"/>
      <c r="J15" s="2"/>
      <c r="K15" s="2"/>
      <c r="L15" s="2"/>
    </row>
    <row r="16" spans="1:12">
      <c r="A16" s="21" t="s">
        <v>118</v>
      </c>
      <c r="B16" s="25">
        <v>2.8799999999999999E-2</v>
      </c>
      <c r="C16" s="25">
        <v>2.6599999999999999E-2</v>
      </c>
      <c r="D16" s="25">
        <v>2.8799999999999999E-2</v>
      </c>
      <c r="E16" s="2"/>
      <c r="F16" s="2"/>
      <c r="G16" s="2"/>
      <c r="H16" s="2"/>
      <c r="I16" s="2"/>
      <c r="J16" s="2"/>
      <c r="K16" s="2"/>
      <c r="L16" s="2"/>
    </row>
    <row r="17" spans="1:12">
      <c r="A17" s="2"/>
      <c r="B17" s="2"/>
      <c r="C17" s="2"/>
      <c r="D17" s="2"/>
      <c r="E17" s="2"/>
      <c r="F17" s="2"/>
      <c r="G17" s="2"/>
      <c r="H17" s="2"/>
      <c r="I17" s="2"/>
      <c r="J17" s="2"/>
      <c r="K17" s="2"/>
      <c r="L17" s="2"/>
    </row>
    <row r="18" spans="1:12">
      <c r="A18" s="2"/>
      <c r="B18" s="2"/>
      <c r="C18" s="2"/>
      <c r="D18" s="2"/>
      <c r="E18" s="2"/>
      <c r="F18" s="2"/>
      <c r="G18" s="2"/>
      <c r="H18" s="2"/>
      <c r="I18" s="2"/>
      <c r="J18" s="2"/>
      <c r="K18" s="2"/>
      <c r="L18" s="2"/>
    </row>
    <row r="19" spans="1:12">
      <c r="A19" s="19" t="s">
        <v>119</v>
      </c>
      <c r="B19" s="35"/>
      <c r="C19" s="35"/>
      <c r="D19" s="35"/>
      <c r="E19" s="2"/>
      <c r="F19" s="2"/>
      <c r="G19" s="2"/>
      <c r="H19" s="2"/>
      <c r="I19" s="2"/>
      <c r="J19" s="2"/>
      <c r="K19" s="2"/>
      <c r="L19" s="2"/>
    </row>
    <row r="20" spans="1:12">
      <c r="A20" s="20" t="s">
        <v>91</v>
      </c>
      <c r="B20" s="20" t="s">
        <v>5</v>
      </c>
      <c r="C20" s="20" t="s">
        <v>6</v>
      </c>
      <c r="D20" s="20" t="s">
        <v>7</v>
      </c>
      <c r="E20" s="2"/>
      <c r="F20" s="2"/>
      <c r="G20" s="2"/>
      <c r="H20" s="2"/>
      <c r="I20" s="2"/>
      <c r="J20" s="2"/>
      <c r="K20" s="2"/>
      <c r="L20" s="2"/>
    </row>
    <row r="21" spans="1:12">
      <c r="A21" s="26" t="s">
        <v>120</v>
      </c>
      <c r="B21" s="22">
        <v>9831</v>
      </c>
      <c r="C21" s="22">
        <v>13841</v>
      </c>
      <c r="D21" s="22">
        <v>10984</v>
      </c>
      <c r="E21" s="2"/>
      <c r="F21" s="2"/>
      <c r="G21" s="2"/>
      <c r="H21" s="2"/>
      <c r="I21" s="2"/>
      <c r="J21" s="2"/>
      <c r="K21" s="2"/>
      <c r="L21" s="2"/>
    </row>
    <row r="22" spans="1:12">
      <c r="A22" s="27" t="s">
        <v>121</v>
      </c>
      <c r="B22" s="24">
        <v>6229</v>
      </c>
      <c r="C22" s="24">
        <v>6779</v>
      </c>
      <c r="D22" s="24">
        <v>7365</v>
      </c>
      <c r="E22" s="2"/>
      <c r="F22" s="2"/>
      <c r="G22" s="2"/>
      <c r="H22" s="2"/>
      <c r="I22" s="2"/>
      <c r="J22" s="2"/>
      <c r="K22" s="2"/>
      <c r="L22" s="2"/>
    </row>
    <row r="23" spans="1:12">
      <c r="A23" s="28" t="s">
        <v>122</v>
      </c>
      <c r="B23" s="29">
        <v>3602</v>
      </c>
      <c r="C23" s="29">
        <v>7062</v>
      </c>
      <c r="D23" s="29">
        <v>3619</v>
      </c>
      <c r="E23" s="2"/>
      <c r="F23" s="2"/>
      <c r="G23" s="2"/>
      <c r="H23" s="2"/>
      <c r="I23" s="2"/>
      <c r="J23" s="2"/>
      <c r="K23" s="2"/>
      <c r="L23" s="2"/>
    </row>
    <row r="24" spans="1:12">
      <c r="A24" s="27" t="s">
        <v>123</v>
      </c>
      <c r="B24" s="30">
        <v>4.48E-2</v>
      </c>
      <c r="C24" s="30">
        <v>5.6300000000000003E-2</v>
      </c>
      <c r="D24" s="30">
        <v>4.2799999999999998E-2</v>
      </c>
      <c r="E24" s="2"/>
      <c r="F24" s="2"/>
      <c r="G24" s="2"/>
      <c r="H24" s="2"/>
      <c r="I24" s="2"/>
      <c r="J24" s="2"/>
      <c r="K24" s="2"/>
      <c r="L24" s="2"/>
    </row>
    <row r="25" spans="1:12">
      <c r="A25" s="26" t="s">
        <v>124</v>
      </c>
      <c r="B25" s="25">
        <v>1.6400000000000001E-2</v>
      </c>
      <c r="C25" s="25">
        <v>2.87E-2</v>
      </c>
      <c r="D25" s="25">
        <v>1.41E-2</v>
      </c>
      <c r="E25" s="2"/>
      <c r="F25" s="2"/>
      <c r="G25" s="2"/>
      <c r="H25" s="2"/>
      <c r="I25" s="2"/>
      <c r="J25" s="2"/>
      <c r="K25" s="2"/>
      <c r="L25" s="2"/>
    </row>
    <row r="26" spans="1:12">
      <c r="A26" s="27" t="s">
        <v>125</v>
      </c>
      <c r="B26" s="31">
        <v>0.56999999999999995</v>
      </c>
      <c r="C26" s="31">
        <v>1.079</v>
      </c>
      <c r="D26" s="31">
        <v>0.49</v>
      </c>
      <c r="E26" s="2"/>
      <c r="F26" s="2"/>
      <c r="G26" s="2"/>
      <c r="H26" s="2"/>
      <c r="I26" s="2"/>
      <c r="J26" s="2"/>
      <c r="K26" s="2"/>
      <c r="L26" s="2"/>
    </row>
    <row r="27" spans="1:12">
      <c r="A27" s="26" t="s">
        <v>126</v>
      </c>
      <c r="B27" s="32">
        <v>1.556</v>
      </c>
      <c r="C27" s="32">
        <v>2.1160000000000001</v>
      </c>
      <c r="D27" s="32">
        <v>1.486</v>
      </c>
      <c r="E27" s="2"/>
      <c r="F27" s="2"/>
      <c r="G27" s="2"/>
      <c r="H27" s="2"/>
      <c r="I27" s="2"/>
      <c r="J27" s="2"/>
      <c r="K27" s="2"/>
      <c r="L27" s="2"/>
    </row>
    <row r="28" spans="1:12">
      <c r="A28" s="2"/>
      <c r="B28" s="2"/>
      <c r="C28" s="2"/>
      <c r="D28" s="2"/>
      <c r="E28" s="2"/>
      <c r="F28" s="2"/>
      <c r="G28" s="2"/>
      <c r="H28" s="2"/>
      <c r="I28" s="2"/>
      <c r="J28" s="2"/>
      <c r="K28" s="2"/>
      <c r="L28" s="2"/>
    </row>
    <row r="29" spans="1:12" ht="44.25" customHeight="1">
      <c r="A29" s="33" t="s">
        <v>127</v>
      </c>
      <c r="B29" s="35"/>
      <c r="C29" s="35"/>
      <c r="D29" s="35"/>
      <c r="E29" s="2"/>
      <c r="F29" s="2"/>
      <c r="G29" s="2"/>
      <c r="H29" s="2"/>
      <c r="I29" s="2"/>
      <c r="J29" s="2"/>
      <c r="K29" s="2"/>
      <c r="L29" s="2"/>
    </row>
    <row r="30" spans="1:12">
      <c r="A30" s="2"/>
      <c r="B30" s="2"/>
      <c r="C30" s="2"/>
      <c r="D30" s="2"/>
      <c r="E30" s="2"/>
      <c r="F30" s="2"/>
      <c r="G30" s="2"/>
      <c r="H30" s="2"/>
      <c r="I30" s="2"/>
      <c r="J30" s="2"/>
      <c r="K30" s="2"/>
      <c r="L30" s="2"/>
    </row>
    <row r="31" spans="1:12">
      <c r="A31" s="19" t="s">
        <v>128</v>
      </c>
      <c r="B31" s="35"/>
      <c r="C31" s="35"/>
      <c r="D31" s="35"/>
      <c r="E31" s="2"/>
      <c r="F31" s="2"/>
      <c r="G31" s="2"/>
      <c r="H31" s="2"/>
      <c r="I31" s="2"/>
      <c r="J31" s="2"/>
      <c r="K31" s="2"/>
      <c r="L31" s="2"/>
    </row>
    <row r="32" spans="1:12">
      <c r="A32" s="20" t="s">
        <v>91</v>
      </c>
      <c r="B32" s="20" t="s">
        <v>5</v>
      </c>
      <c r="C32" s="20" t="s">
        <v>6</v>
      </c>
      <c r="D32" s="20" t="s">
        <v>7</v>
      </c>
      <c r="E32" s="2"/>
      <c r="F32" s="2"/>
      <c r="G32" s="2"/>
      <c r="H32" s="2"/>
      <c r="I32" s="2"/>
      <c r="J32" s="2"/>
      <c r="K32" s="2"/>
      <c r="L32" s="2"/>
    </row>
    <row r="33" spans="1:12">
      <c r="A33" s="21" t="s">
        <v>129</v>
      </c>
      <c r="B33" s="22">
        <v>102356</v>
      </c>
      <c r="C33" s="22">
        <v>112840</v>
      </c>
      <c r="D33" s="22">
        <v>124944</v>
      </c>
      <c r="E33" s="2"/>
      <c r="F33" s="2"/>
      <c r="G33" s="2"/>
      <c r="H33" s="2"/>
      <c r="I33" s="2"/>
      <c r="J33" s="2"/>
      <c r="K33" s="2"/>
      <c r="L33" s="2"/>
    </row>
    <row r="34" spans="1:12">
      <c r="A34" s="23" t="s">
        <v>130</v>
      </c>
      <c r="B34" s="24">
        <v>26278</v>
      </c>
      <c r="C34" s="24">
        <v>27893</v>
      </c>
      <c r="D34" s="24">
        <v>30117</v>
      </c>
      <c r="E34" s="2"/>
      <c r="F34" s="2"/>
      <c r="G34" s="2"/>
      <c r="H34" s="2"/>
      <c r="I34" s="2"/>
      <c r="J34" s="2"/>
      <c r="K34" s="2"/>
      <c r="L34" s="2"/>
    </row>
    <row r="35" spans="1:12">
      <c r="A35" s="21" t="s">
        <v>131</v>
      </c>
      <c r="B35" s="22">
        <v>76078</v>
      </c>
      <c r="C35" s="22">
        <v>84947</v>
      </c>
      <c r="D35" s="22">
        <v>94827</v>
      </c>
      <c r="E35" s="2"/>
      <c r="F35" s="2"/>
      <c r="G35" s="2"/>
      <c r="H35" s="2"/>
      <c r="I35" s="2"/>
      <c r="J35" s="2"/>
      <c r="K35" s="2"/>
      <c r="L35" s="2"/>
    </row>
    <row r="36" spans="1:12">
      <c r="A36" s="23" t="s">
        <v>132</v>
      </c>
      <c r="B36" s="31">
        <v>1.28</v>
      </c>
      <c r="C36" s="31">
        <v>1.23</v>
      </c>
      <c r="D36" s="31">
        <v>1.19</v>
      </c>
      <c r="E36" s="2"/>
      <c r="F36" s="2"/>
      <c r="G36" s="2"/>
      <c r="H36" s="2"/>
      <c r="I36" s="2"/>
      <c r="J36" s="2"/>
      <c r="K36" s="2"/>
      <c r="L36" s="2"/>
    </row>
    <row r="37" spans="1:12">
      <c r="A37" s="21" t="s">
        <v>133</v>
      </c>
      <c r="B37" s="32">
        <v>2.9</v>
      </c>
      <c r="C37" s="32">
        <v>3.04</v>
      </c>
      <c r="D37" s="32">
        <v>3.15</v>
      </c>
      <c r="E37" s="2"/>
      <c r="F37" s="2"/>
      <c r="G37" s="2"/>
      <c r="H37" s="2"/>
      <c r="I37" s="2"/>
      <c r="J37" s="2"/>
      <c r="K37" s="2"/>
      <c r="L37" s="2"/>
    </row>
    <row r="38" spans="1:12">
      <c r="A38" s="23" t="s">
        <v>134</v>
      </c>
      <c r="B38" s="30">
        <v>0.24049999999999999</v>
      </c>
      <c r="C38" s="30">
        <v>0.2346</v>
      </c>
      <c r="D38" s="30">
        <v>0.2455</v>
      </c>
      <c r="E38" s="2"/>
      <c r="F38" s="2"/>
      <c r="G38" s="2"/>
      <c r="H38" s="2"/>
      <c r="I38" s="2"/>
      <c r="J38" s="2"/>
      <c r="K38" s="2"/>
      <c r="L38" s="2"/>
    </row>
    <row r="39" spans="1:12">
      <c r="A39" s="34"/>
      <c r="B39" s="34"/>
      <c r="C39" s="34"/>
      <c r="D39" s="34"/>
      <c r="E39" s="34"/>
      <c r="F39" s="34"/>
      <c r="G39" s="34"/>
      <c r="H39" s="34"/>
      <c r="I39" s="34"/>
      <c r="J39" s="34"/>
      <c r="K39" s="34"/>
      <c r="L39" s="34"/>
    </row>
  </sheetData>
  <mergeCells count="18">
    <mergeCell ref="A8:D8"/>
    <mergeCell ref="A19:D19"/>
    <mergeCell ref="A29:D29"/>
    <mergeCell ref="A31:D31"/>
    <mergeCell ref="A5:B5"/>
    <mergeCell ref="C5:D5"/>
    <mergeCell ref="E5:F5"/>
    <mergeCell ref="G5:H5"/>
    <mergeCell ref="I5:J5"/>
    <mergeCell ref="K5:L5"/>
    <mergeCell ref="A1:L1"/>
    <mergeCell ref="A2:L2"/>
    <mergeCell ref="A4:B4"/>
    <mergeCell ref="C4:D4"/>
    <mergeCell ref="E4:F4"/>
    <mergeCell ref="G4:H4"/>
    <mergeCell ref="I4:J4"/>
    <mergeCell ref="K4:L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workbookViewId="0"/>
  </sheetViews>
  <sheetFormatPr defaultColWidth="14.42578125" defaultRowHeight="15" customHeight="1"/>
  <cols>
    <col min="1" max="1" width="45.5703125" customWidth="1"/>
    <col min="2" max="26" width="8.7109375" customWidth="1"/>
  </cols>
  <sheetData>
    <row r="1" spans="1:4" ht="36" customHeight="1">
      <c r="A1" s="6" t="s">
        <v>135</v>
      </c>
    </row>
    <row r="2" spans="1:4" ht="29.25" customHeight="1">
      <c r="A2" s="7" t="s">
        <v>136</v>
      </c>
    </row>
    <row r="3" spans="1:4" ht="29.25" customHeight="1">
      <c r="A3" s="7" t="s">
        <v>137</v>
      </c>
    </row>
    <row r="5" spans="1:4">
      <c r="A5" s="1" t="s">
        <v>138</v>
      </c>
      <c r="B5" s="8" t="s">
        <v>5</v>
      </c>
      <c r="C5" s="8" t="s">
        <v>6</v>
      </c>
      <c r="D5" s="8" t="s">
        <v>7</v>
      </c>
    </row>
    <row r="6" spans="1:4">
      <c r="A6" s="2" t="s">
        <v>139</v>
      </c>
      <c r="B6" s="2">
        <f>'08_Trends'!B2</f>
        <v>219530</v>
      </c>
      <c r="C6" s="2">
        <f>'08_Trends'!C2</f>
        <v>246082</v>
      </c>
      <c r="D6" s="2">
        <f>'08_Trends'!D2</f>
        <v>256682</v>
      </c>
    </row>
    <row r="7" spans="1:4">
      <c r="A7" s="2" t="s">
        <v>140</v>
      </c>
      <c r="B7" s="2">
        <f>'08_Trends'!B4</f>
        <v>12344</v>
      </c>
      <c r="C7" s="2">
        <f>'08_Trends'!C4</f>
        <v>13156</v>
      </c>
      <c r="D7" s="2">
        <f>'08_Trends'!D4</f>
        <v>14943</v>
      </c>
    </row>
    <row r="8" spans="1:4">
      <c r="A8" s="2" t="s">
        <v>141</v>
      </c>
      <c r="B8" s="2">
        <f>'08_Trends'!B5</f>
        <v>6320</v>
      </c>
      <c r="C8" s="2">
        <f>'08_Trends'!C5</f>
        <v>6543</v>
      </c>
      <c r="D8" s="2">
        <f>'08_Trends'!D5</f>
        <v>7392</v>
      </c>
    </row>
    <row r="9" spans="1:4">
      <c r="A9" s="2" t="s">
        <v>31</v>
      </c>
      <c r="B9" s="9">
        <f>'08_Trends'!B7</f>
        <v>5.6229216963512962E-2</v>
      </c>
      <c r="C9" s="9">
        <f>'08_Trends'!C7</f>
        <v>5.3461854178688407E-2</v>
      </c>
      <c r="D9" s="9">
        <f>'08_Trends'!D7</f>
        <v>5.8216002680359355E-2</v>
      </c>
    </row>
    <row r="10" spans="1:4">
      <c r="A10" s="2" t="s">
        <v>134</v>
      </c>
      <c r="B10" s="9">
        <f>'08_Trends'!B19</f>
        <v>0.2405053657051526</v>
      </c>
      <c r="C10" s="9">
        <f>'08_Trends'!C19</f>
        <v>0.23600490549704228</v>
      </c>
      <c r="D10" s="9">
        <f>'08_Trends'!D19</f>
        <v>0.24544277318458013</v>
      </c>
    </row>
    <row r="11" spans="1:4">
      <c r="A11" s="2" t="s">
        <v>94</v>
      </c>
      <c r="B11" s="2">
        <f>'08_Trends'!B14</f>
        <v>9831</v>
      </c>
      <c r="C11" s="2">
        <f>'08_Trends'!C14</f>
        <v>13841</v>
      </c>
      <c r="D11" s="2">
        <f>'08_Trends'!D14</f>
        <v>10984</v>
      </c>
    </row>
    <row r="13" spans="1:4">
      <c r="A13" s="1" t="s">
        <v>142</v>
      </c>
    </row>
    <row r="14" spans="1:4">
      <c r="A14" s="1"/>
    </row>
    <row r="15" spans="1:4" ht="130.5" customHeight="1">
      <c r="A15" s="7" t="s">
        <v>143</v>
      </c>
    </row>
    <row r="16" spans="1:4">
      <c r="A16" s="7"/>
    </row>
    <row r="17" spans="1:1" ht="260.25" customHeight="1">
      <c r="A17" s="10" t="s">
        <v>144</v>
      </c>
    </row>
    <row r="19" spans="1:1" ht="216.75" customHeight="1">
      <c r="A19" s="10" t="s">
        <v>145</v>
      </c>
    </row>
    <row r="21" spans="1:1" ht="216.75" customHeight="1">
      <c r="A21" s="10" t="s">
        <v>146</v>
      </c>
    </row>
    <row r="22" spans="1:1" ht="15.75" customHeight="1"/>
    <row r="23" spans="1:1" ht="216.75" customHeight="1">
      <c r="A23" s="10" t="s">
        <v>147</v>
      </c>
    </row>
    <row r="24" spans="1:1" ht="15.75" customHeight="1"/>
    <row r="25" spans="1:1" ht="101.25" customHeight="1">
      <c r="A25" s="10" t="s">
        <v>148</v>
      </c>
    </row>
    <row r="26" spans="1:1" ht="15.75" customHeight="1"/>
    <row r="27" spans="1:1" ht="115.5" customHeight="1">
      <c r="A27" s="10" t="s">
        <v>149</v>
      </c>
    </row>
    <row r="28" spans="1:1" ht="15.75" customHeight="1"/>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1000"/>
  <sheetViews>
    <sheetView workbookViewId="0">
      <selection activeCell="C13" sqref="C13"/>
    </sheetView>
  </sheetViews>
  <sheetFormatPr defaultColWidth="14.42578125" defaultRowHeight="15" customHeight="1"/>
  <cols>
    <col min="1" max="1" width="26.42578125" customWidth="1"/>
    <col min="2" max="26" width="8.7109375" customWidth="1"/>
  </cols>
  <sheetData>
    <row r="1" spans="1:18" ht="36">
      <c r="A1" s="14" t="s">
        <v>150</v>
      </c>
      <c r="B1" s="13"/>
      <c r="C1" s="13"/>
      <c r="D1" s="13"/>
      <c r="E1" s="13"/>
      <c r="F1" s="13"/>
      <c r="G1" s="13"/>
      <c r="H1" s="13"/>
      <c r="I1" s="13"/>
      <c r="J1" s="13"/>
      <c r="K1" s="13"/>
      <c r="L1" s="13"/>
      <c r="M1" s="13"/>
      <c r="N1" s="13"/>
      <c r="O1" s="13"/>
      <c r="P1" s="13"/>
      <c r="Q1" s="13"/>
      <c r="R1" s="13"/>
    </row>
    <row r="2" spans="1:18" ht="15" customHeight="1">
      <c r="A2" s="13"/>
      <c r="B2" s="13"/>
      <c r="C2" s="13"/>
      <c r="D2" s="13"/>
      <c r="E2" s="13"/>
      <c r="F2" s="13"/>
      <c r="G2" s="13"/>
      <c r="H2" s="13"/>
      <c r="I2" s="13"/>
      <c r="J2" s="13"/>
      <c r="K2" s="13"/>
      <c r="L2" s="13"/>
      <c r="M2" s="13"/>
      <c r="N2" s="13"/>
      <c r="O2" s="13"/>
      <c r="P2" s="13"/>
      <c r="Q2" s="13"/>
      <c r="R2" s="13"/>
    </row>
    <row r="3" spans="1:18">
      <c r="A3" s="1" t="s">
        <v>151</v>
      </c>
      <c r="B3" s="2" t="s">
        <v>152</v>
      </c>
      <c r="C3" s="13"/>
      <c r="D3" s="13"/>
      <c r="E3" s="13"/>
      <c r="F3" s="13"/>
      <c r="G3" s="13"/>
      <c r="H3" s="13"/>
      <c r="I3" s="13"/>
      <c r="J3" s="13"/>
      <c r="K3" s="13"/>
      <c r="L3" s="13"/>
      <c r="M3" s="13"/>
      <c r="N3" s="13"/>
      <c r="O3" s="13"/>
      <c r="P3" s="13"/>
      <c r="Q3" s="13"/>
      <c r="R3" s="13"/>
    </row>
    <row r="4" spans="1:18">
      <c r="A4" s="1" t="s">
        <v>153</v>
      </c>
      <c r="B4" s="2" t="s">
        <v>154</v>
      </c>
      <c r="C4" s="13"/>
      <c r="D4" s="13"/>
      <c r="E4" s="13"/>
      <c r="F4" s="13"/>
      <c r="G4" s="13"/>
      <c r="H4" s="13"/>
      <c r="I4" s="13"/>
      <c r="J4" s="13"/>
      <c r="K4" s="13"/>
      <c r="L4" s="13"/>
      <c r="M4" s="13"/>
      <c r="N4" s="13"/>
      <c r="O4" s="13"/>
      <c r="P4" s="13"/>
      <c r="Q4" s="13"/>
      <c r="R4" s="13"/>
    </row>
    <row r="5" spans="1:18">
      <c r="A5" s="1" t="s">
        <v>155</v>
      </c>
      <c r="B5" s="2" t="s">
        <v>156</v>
      </c>
      <c r="C5" s="13"/>
      <c r="D5" s="13"/>
      <c r="E5" s="13"/>
      <c r="F5" s="13"/>
      <c r="G5" s="13"/>
      <c r="H5" s="13"/>
      <c r="I5" s="13"/>
      <c r="J5" s="13"/>
      <c r="K5" s="13"/>
      <c r="L5" s="13"/>
      <c r="M5" s="13"/>
      <c r="N5" s="13"/>
      <c r="O5" s="13"/>
      <c r="P5" s="13"/>
      <c r="Q5" s="13"/>
      <c r="R5" s="13"/>
    </row>
    <row r="6" spans="1:18">
      <c r="A6" s="1" t="s">
        <v>157</v>
      </c>
      <c r="B6" s="2" t="s">
        <v>158</v>
      </c>
      <c r="C6" s="13"/>
      <c r="D6" s="13"/>
      <c r="E6" s="13"/>
      <c r="F6" s="13"/>
      <c r="G6" s="13"/>
      <c r="H6" s="13"/>
      <c r="I6" s="13"/>
      <c r="J6" s="13"/>
      <c r="K6" s="13"/>
      <c r="L6" s="13"/>
      <c r="M6" s="13"/>
      <c r="N6" s="13"/>
      <c r="O6" s="13"/>
      <c r="P6" s="13"/>
      <c r="Q6" s="13"/>
      <c r="R6" s="13"/>
    </row>
    <row r="7" spans="1:18">
      <c r="A7" s="1" t="s">
        <v>159</v>
      </c>
      <c r="B7" s="2" t="s">
        <v>160</v>
      </c>
      <c r="C7" s="13"/>
      <c r="D7" s="13"/>
      <c r="E7" s="13"/>
      <c r="F7" s="13"/>
      <c r="G7" s="13"/>
      <c r="H7" s="13"/>
      <c r="I7" s="13"/>
      <c r="J7" s="13"/>
      <c r="K7" s="13"/>
      <c r="L7" s="13"/>
      <c r="M7" s="13"/>
      <c r="N7" s="13"/>
      <c r="O7" s="13"/>
      <c r="P7" s="13"/>
      <c r="Q7" s="13"/>
      <c r="R7" s="13"/>
    </row>
    <row r="8" spans="1:18">
      <c r="A8" s="1" t="s">
        <v>161</v>
      </c>
      <c r="B8" s="2" t="s">
        <v>162</v>
      </c>
      <c r="C8" s="13"/>
      <c r="D8" s="13"/>
      <c r="E8" s="13"/>
      <c r="F8" s="13"/>
      <c r="G8" s="13"/>
      <c r="H8" s="13"/>
      <c r="I8" s="13"/>
      <c r="J8" s="13"/>
      <c r="K8" s="13"/>
      <c r="L8" s="13"/>
      <c r="M8" s="13"/>
      <c r="N8" s="13"/>
      <c r="O8" s="13"/>
      <c r="P8" s="13"/>
      <c r="Q8" s="13"/>
      <c r="R8" s="13"/>
    </row>
    <row r="9" spans="1:18">
      <c r="A9" s="1" t="s">
        <v>121</v>
      </c>
      <c r="B9" s="2" t="s">
        <v>163</v>
      </c>
      <c r="C9" s="13"/>
      <c r="D9" s="13"/>
      <c r="E9" s="13"/>
      <c r="F9" s="13"/>
      <c r="G9" s="13"/>
      <c r="H9" s="13"/>
      <c r="I9" s="13"/>
      <c r="J9" s="13"/>
      <c r="K9" s="13"/>
      <c r="L9" s="13"/>
      <c r="M9" s="13"/>
      <c r="N9" s="13"/>
      <c r="O9" s="13"/>
      <c r="P9" s="13"/>
      <c r="Q9" s="13"/>
      <c r="R9"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2026-02-08T18:01:27Z</dcterms:created>
  <dcterms:modified xsi:type="dcterms:W3CDTF">2026-02-23T00:37:49Z</dcterms:modified>
  <cp:category/>
  <cp:contentStatus/>
</cp:coreProperties>
</file>