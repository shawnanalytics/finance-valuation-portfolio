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66925"/>
  <xr:revisionPtr revIDLastSave="0" documentId="8_{85E6A3EF-DD5B-4FAA-9CC9-B1DAADC5383D}" xr6:coauthVersionLast="47" xr6:coauthVersionMax="47" xr10:uidLastSave="{00000000-0000-0000-0000-000000000000}"/>
  <bookViews>
    <workbookView xWindow="240" yWindow="105" windowWidth="14805" windowHeight="8010" firstSheet="4" activeTab="10" xr2:uid="{00000000-000D-0000-FFFF-FFFF00000000}"/>
  </bookViews>
  <sheets>
    <sheet name="00_control" sheetId="1" r:id="rId1"/>
    <sheet name="01_Raw_IS" sheetId="2" r:id="rId2"/>
    <sheet name="02_Raw_BS" sheetId="3" r:id="rId3"/>
    <sheet name="03_Raw_CF" sheetId="4" r:id="rId4"/>
    <sheet name="04_Clean_IS" sheetId="13" r:id="rId5"/>
    <sheet name="05_Clean_BS" sheetId="6" r:id="rId6"/>
    <sheet name="06_Clean_CF" sheetId="7" r:id="rId7"/>
    <sheet name="07_Ratios" sheetId="8" r:id="rId8"/>
    <sheet name="08_Trends" sheetId="9" r:id="rId9"/>
    <sheet name="09_Dashboard" sheetId="10" r:id="rId10"/>
    <sheet name="10_Executive_Memo" sheetId="11" r:id="rId11"/>
    <sheet name="99_Definition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1" l="1"/>
  <c r="C11" i="11"/>
  <c r="B11" i="11"/>
  <c r="D10" i="11"/>
  <c r="C10" i="11"/>
  <c r="B10" i="11"/>
  <c r="D9" i="11"/>
  <c r="C9" i="11"/>
  <c r="B9" i="11"/>
  <c r="D8" i="11"/>
  <c r="C8" i="11"/>
  <c r="B8" i="11"/>
  <c r="D7" i="11"/>
  <c r="C7" i="11"/>
  <c r="B7" i="11"/>
  <c r="D6" i="11"/>
  <c r="C6" i="11"/>
  <c r="B6" i="11"/>
  <c r="B6" i="10"/>
  <c r="B5" i="10"/>
  <c r="B4" i="10"/>
  <c r="B3" i="10"/>
  <c r="B2" i="10"/>
  <c r="F22" i="9"/>
  <c r="E22" i="9"/>
  <c r="F21" i="9"/>
  <c r="E21" i="9"/>
  <c r="F20" i="9"/>
  <c r="E20" i="9"/>
  <c r="D22" i="9"/>
  <c r="C22" i="9"/>
  <c r="B22" i="9"/>
  <c r="D21" i="9"/>
  <c r="C21" i="9"/>
  <c r="B21" i="9"/>
  <c r="D20" i="9"/>
  <c r="C20" i="9"/>
  <c r="B20" i="9"/>
  <c r="D19" i="9"/>
  <c r="C19" i="9"/>
  <c r="B19" i="9"/>
  <c r="D18" i="9"/>
  <c r="C18" i="9"/>
  <c r="B18" i="9"/>
  <c r="D14" i="9"/>
  <c r="C14" i="9"/>
  <c r="B14" i="9"/>
  <c r="B16" i="9" s="1"/>
  <c r="D12" i="9"/>
  <c r="C12" i="9"/>
  <c r="B12" i="9"/>
  <c r="D11" i="9"/>
  <c r="C11" i="9"/>
  <c r="B11" i="9"/>
  <c r="D10" i="9"/>
  <c r="C10" i="9"/>
  <c r="B10" i="9"/>
  <c r="D8" i="9"/>
  <c r="C8" i="9"/>
  <c r="B8" i="9"/>
  <c r="D7" i="9"/>
  <c r="C7" i="9"/>
  <c r="B7" i="9"/>
  <c r="D6" i="9"/>
  <c r="C6" i="9"/>
  <c r="B6" i="9"/>
  <c r="D5" i="9"/>
  <c r="C5" i="9"/>
  <c r="B5" i="9"/>
  <c r="D4" i="9"/>
  <c r="C4" i="9"/>
  <c r="B4" i="9"/>
  <c r="D3" i="9"/>
  <c r="C3" i="9"/>
  <c r="B3" i="9"/>
  <c r="D2" i="9"/>
  <c r="C2" i="9"/>
  <c r="B2" i="9"/>
  <c r="D16" i="8"/>
  <c r="C16" i="8"/>
  <c r="B16" i="8"/>
  <c r="D15" i="8"/>
  <c r="C15" i="8"/>
  <c r="B15" i="8"/>
  <c r="D13" i="8"/>
  <c r="C13" i="8"/>
  <c r="B13" i="8"/>
  <c r="B12" i="8"/>
  <c r="D12" i="8"/>
  <c r="C12" i="8"/>
  <c r="D10" i="8"/>
  <c r="C10" i="8"/>
  <c r="B10" i="8"/>
  <c r="D9" i="8"/>
  <c r="C9" i="8"/>
  <c r="B9" i="8"/>
  <c r="D7" i="8"/>
  <c r="C7" i="8"/>
  <c r="B7" i="8"/>
  <c r="D6" i="8"/>
  <c r="C6" i="8"/>
  <c r="B6" i="8"/>
  <c r="D4" i="8"/>
  <c r="C4" i="8"/>
  <c r="B4" i="8"/>
  <c r="D3" i="8"/>
  <c r="C3" i="8"/>
  <c r="B3" i="8"/>
  <c r="D2" i="8"/>
  <c r="C2" i="8"/>
  <c r="B2" i="8"/>
  <c r="D11" i="7"/>
  <c r="C11" i="7"/>
  <c r="B11" i="7"/>
  <c r="D19" i="7"/>
  <c r="C19" i="7"/>
  <c r="B19" i="7"/>
  <c r="D20" i="7"/>
  <c r="C20" i="7"/>
  <c r="B20" i="7"/>
  <c r="D18" i="7"/>
  <c r="C18" i="7"/>
  <c r="B18" i="7"/>
  <c r="D17" i="7"/>
  <c r="C17" i="7"/>
  <c r="B17" i="7"/>
  <c r="D7" i="7"/>
  <c r="C7" i="7"/>
  <c r="B7" i="7"/>
  <c r="D35" i="6"/>
  <c r="C35" i="6"/>
  <c r="B35" i="6"/>
  <c r="D34" i="6"/>
  <c r="C34" i="6"/>
  <c r="B34" i="6"/>
  <c r="D33" i="6"/>
  <c r="C33" i="6"/>
  <c r="B33" i="6"/>
  <c r="D27" i="6"/>
  <c r="C27" i="6"/>
  <c r="B27" i="6"/>
  <c r="D20" i="6"/>
  <c r="C20" i="6"/>
  <c r="B20" i="6"/>
  <c r="D15" i="6"/>
  <c r="C15" i="6"/>
  <c r="B15" i="6"/>
  <c r="D14" i="6"/>
  <c r="C14" i="6"/>
  <c r="B14" i="6"/>
  <c r="D7" i="6"/>
  <c r="C7" i="6"/>
  <c r="B7" i="6"/>
  <c r="D5" i="6"/>
  <c r="C5" i="6"/>
  <c r="B5" i="6"/>
  <c r="D3" i="6"/>
  <c r="C3" i="6"/>
  <c r="B3" i="6"/>
  <c r="D14" i="13"/>
  <c r="C14" i="13"/>
  <c r="B14" i="13"/>
  <c r="D13" i="13"/>
  <c r="C13" i="13"/>
  <c r="B13" i="13"/>
  <c r="D12" i="13"/>
  <c r="C12" i="13"/>
  <c r="B12" i="13"/>
  <c r="D11" i="13"/>
  <c r="C11" i="13"/>
  <c r="B11" i="13"/>
  <c r="D9" i="13"/>
  <c r="C9" i="13"/>
  <c r="B9" i="13"/>
  <c r="D8" i="13"/>
  <c r="C8" i="13"/>
  <c r="B8" i="13"/>
  <c r="D7" i="13"/>
  <c r="C7" i="13"/>
  <c r="B7" i="13"/>
  <c r="D6" i="13"/>
  <c r="C6" i="13"/>
  <c r="B6" i="13"/>
  <c r="D5" i="13"/>
  <c r="C5" i="13"/>
  <c r="B5" i="13"/>
  <c r="D4" i="13"/>
  <c r="C4" i="13"/>
  <c r="B4" i="13"/>
  <c r="D3" i="13"/>
  <c r="C3" i="13"/>
  <c r="B3" i="13"/>
  <c r="D2" i="13"/>
  <c r="C2" i="13"/>
  <c r="B2" i="13"/>
  <c r="E3" i="9" l="1"/>
  <c r="E4" i="9"/>
  <c r="F4" i="9"/>
  <c r="E5" i="9"/>
  <c r="F5" i="9"/>
  <c r="E6" i="9"/>
  <c r="F6" i="9"/>
  <c r="E7" i="9"/>
  <c r="F7" i="9"/>
  <c r="E8" i="9"/>
  <c r="F8" i="9"/>
  <c r="E10" i="9"/>
  <c r="F10" i="9"/>
  <c r="E11" i="9"/>
  <c r="F11" i="9"/>
  <c r="E12" i="9"/>
  <c r="F12" i="9"/>
  <c r="C16" i="9"/>
  <c r="E16" i="9" s="1"/>
  <c r="E14" i="9"/>
  <c r="D16" i="9"/>
  <c r="F16" i="9" s="1"/>
  <c r="F14" i="9"/>
  <c r="E18" i="9"/>
  <c r="F18" i="9"/>
  <c r="E19" i="9"/>
  <c r="F19" i="9"/>
  <c r="E2" i="9"/>
  <c r="F2" i="9"/>
  <c r="F3" i="9"/>
</calcChain>
</file>

<file path=xl/sharedStrings.xml><?xml version="1.0" encoding="utf-8"?>
<sst xmlns="http://schemas.openxmlformats.org/spreadsheetml/2006/main" count="184" uniqueCount="116">
  <si>
    <t>Reporting Currency</t>
  </si>
  <si>
    <t>ZAR</t>
  </si>
  <si>
    <t>Units</t>
  </si>
  <si>
    <t>R million</t>
  </si>
  <si>
    <t>Financial Years</t>
  </si>
  <si>
    <t>FY2023</t>
  </si>
  <si>
    <t>FY2024</t>
  </si>
  <si>
    <t>FY2025</t>
  </si>
  <si>
    <t>Line Item</t>
  </si>
  <si>
    <t>Revenue</t>
  </si>
  <si>
    <t>Sale of merchandise</t>
  </si>
  <si>
    <t>Cost of sales</t>
  </si>
  <si>
    <t>Gross profit</t>
  </si>
  <si>
    <t>Operating profit</t>
  </si>
  <si>
    <t>Net finance costs</t>
  </si>
  <si>
    <t>Profit before tax</t>
  </si>
  <si>
    <t>Income tax expense</t>
  </si>
  <si>
    <t>Profit after tax</t>
  </si>
  <si>
    <t>Total assets</t>
  </si>
  <si>
    <t>Current assets</t>
  </si>
  <si>
    <t>Cash and cash equivalents</t>
  </si>
  <si>
    <t>Inventory</t>
  </si>
  <si>
    <t>Total equity</t>
  </si>
  <si>
    <t>Total liabilities</t>
  </si>
  <si>
    <t>Current liabilities</t>
  </si>
  <si>
    <t>Interest-bearing borrowings</t>
  </si>
  <si>
    <t>Net cash from operating activities</t>
  </si>
  <si>
    <t>Net cash used in investing activities</t>
  </si>
  <si>
    <t>Net cash from financing activities</t>
  </si>
  <si>
    <t>Net increase / (decrease) in cash</t>
  </si>
  <si>
    <t>Gross margin %</t>
  </si>
  <si>
    <t>Operating margin %</t>
  </si>
  <si>
    <t>Finance costs</t>
  </si>
  <si>
    <t>Interest received</t>
  </si>
  <si>
    <t>Net margin %</t>
  </si>
  <si>
    <t>Trade and other receivables</t>
  </si>
  <si>
    <t>Inventories</t>
  </si>
  <si>
    <t>Other current assets</t>
  </si>
  <si>
    <t>Total current assets</t>
  </si>
  <si>
    <t>Non-current assets</t>
  </si>
  <si>
    <t>Property, plant and equipment</t>
  </si>
  <si>
    <t>Right-of-use assets</t>
  </si>
  <si>
    <t>Intangible assets</t>
  </si>
  <si>
    <t>Investments in associates</t>
  </si>
  <si>
    <t>Other non-current assets</t>
  </si>
  <si>
    <t>Total non-current assets</t>
  </si>
  <si>
    <t>Equity</t>
  </si>
  <si>
    <t>Share capital</t>
  </si>
  <si>
    <t>Retained earnings</t>
  </si>
  <si>
    <t>Other reserves</t>
  </si>
  <si>
    <t>Trade and other payables</t>
  </si>
  <si>
    <t>Borrowings (current)</t>
  </si>
  <si>
    <t>Lease liabilities (current)</t>
  </si>
  <si>
    <t>Provisions</t>
  </si>
  <si>
    <t>Other current liabilities</t>
  </si>
  <si>
    <t>Total current liabilities</t>
  </si>
  <si>
    <t>Non-current liabilities</t>
  </si>
  <si>
    <t>Borrowings (non-current)</t>
  </si>
  <si>
    <t>Lease liabilities (non-current)</t>
  </si>
  <si>
    <t>Deferred tax liabilities</t>
  </si>
  <si>
    <t>Other non-current liabilities</t>
  </si>
  <si>
    <t>Total non-current liabilities</t>
  </si>
  <si>
    <t>Total equity and liabilities</t>
  </si>
  <si>
    <t>Cash flows from operating activities</t>
  </si>
  <si>
    <t>Cash generated from operations</t>
  </si>
  <si>
    <t>Net working capital changes</t>
  </si>
  <si>
    <t>Cash generated from operations before tax</t>
  </si>
  <si>
    <t>Income tax paid</t>
  </si>
  <si>
    <t>Cash flows from investing activities</t>
  </si>
  <si>
    <t>Capital expenditure</t>
  </si>
  <si>
    <t>Other investing activities</t>
  </si>
  <si>
    <t>Cash flows from financing activities</t>
  </si>
  <si>
    <t>Proceeds from borrowings</t>
  </si>
  <si>
    <t>Repayment of borrowings</t>
  </si>
  <si>
    <t>Dividends paid</t>
  </si>
  <si>
    <t>Other financing activities</t>
  </si>
  <si>
    <t>Net change in cash</t>
  </si>
  <si>
    <t>Opening cash balance</t>
  </si>
  <si>
    <t>Closing cash balance</t>
  </si>
  <si>
    <t>Ratio</t>
  </si>
  <si>
    <t>Return on assets (ROA)</t>
  </si>
  <si>
    <t>Return on equity (ROE)</t>
  </si>
  <si>
    <t>Current ratio</t>
  </si>
  <si>
    <t>Cash ratio</t>
  </si>
  <si>
    <t>Debt to equity</t>
  </si>
  <si>
    <t>Debt to assets</t>
  </si>
  <si>
    <t>Operating cash flow margin</t>
  </si>
  <si>
    <t>Cash conversion (OCF / PAT)</t>
  </si>
  <si>
    <t>Metric</t>
  </si>
  <si>
    <t>YoY % (23 → 24)</t>
  </si>
  <si>
    <t>YoY % (24 → 25)</t>
  </si>
  <si>
    <t>Operating cash flow</t>
  </si>
  <si>
    <t>Free cash flow</t>
  </si>
  <si>
    <t>ROA</t>
  </si>
  <si>
    <t>ROE</t>
  </si>
  <si>
    <t>Revenue (FY2025)</t>
  </si>
  <si>
    <t>Operating margin (FY2025)</t>
  </si>
  <si>
    <t>ROE (FY2025)</t>
  </si>
  <si>
    <t>Current ratio (FY2025)</t>
  </si>
  <si>
    <t>Operating cash flow margin (FY2025)</t>
  </si>
  <si>
    <t>Executive Memo — Shoprite Holdings (FY2023–FY2025)</t>
  </si>
  <si>
    <t>Purpose: Summarise performance trends and highlight key drivers / risks</t>
  </si>
  <si>
    <t>Prepared by: Saun Sibanyoni | Date: 10 February 2026</t>
  </si>
  <si>
    <t>KPI</t>
  </si>
  <si>
    <t>Revenue (Rm)</t>
  </si>
  <si>
    <t>Operating profit (Rm)</t>
  </si>
  <si>
    <t>Profit after tax (Rm)</t>
  </si>
  <si>
    <t>ROE %</t>
  </si>
  <si>
    <t>Executive Summary (FY2023-FY2025)</t>
  </si>
  <si>
    <t>Shoprite delivered consistent top-line growth over FY2023-FY2025, with revenue increasing from R219,530m to R256,682m. While revenue growth moderated in FY2025 relative to FY2024, overall profitability remained resilient. Operating margins were maintained in the mid-5% range, and net margins remained broadly stable, reflecting disciplined cost control in a challenging retail environment.</t>
  </si>
  <si>
    <r>
      <rPr>
        <b/>
        <sz val="11"/>
        <color rgb="FF000000"/>
        <rFont val="Aptos Narrow"/>
      </rPr>
      <t xml:space="preserve">Revenue &amp; Profitability
</t>
    </r>
    <r>
      <rPr>
        <sz val="11"/>
        <color rgb="FF000000"/>
        <rFont val="Aptos Narrow"/>
      </rPr>
      <t xml:space="preserve">
Revenue growth decelerated from FY2024 to FY2025, consistent with scale effects as the business matures. Despite this moderation, gross margins remained stable in the low-to-mid 24% range, indicating effective pricing and cost management.
Operating profit increased from R12,344m in FY2023 to R14,943m in FY2025, supported by steady operating margin performance. Profit after tax rose from R6,320m to R7,392m, with net margins holding around ~3% and showing a modest recovery in FY2025.
Overall, profitability trends suggest a business transitioning from high-growth expansion toward efficiency, margin protection, and operational discipline.</t>
    </r>
  </si>
  <si>
    <r>
      <rPr>
        <b/>
        <sz val="11"/>
        <color rgb="FF000000"/>
        <rFont val="Aptos Narrow"/>
      </rPr>
      <t xml:space="preserve">Cash Flow &amp; Earnings Quality
</t>
    </r>
    <r>
      <rPr>
        <sz val="11"/>
        <color rgb="FF000000"/>
        <rFont val="Aptos Narrow"/>
      </rPr>
      <t xml:space="preserve">
Operating cash flow strengthened significantly in FY2024, reaching R13,841m, before normalising to R10,984m in FY2025. This pattern indicates timing effects related to working capital movements, which are typical in large-scale retail operations.
Operating cash flow margin peaked in FY2024 before declining in FY2025, highlighting cash conversion volatility as a key variable. While earnings quality remains acceptable, sustained consistency between profit and cash generation warrants ongoing monitoring, particularly across inventory and supplier payment cycles.</t>
    </r>
  </si>
  <si>
    <r>
      <rPr>
        <b/>
        <sz val="11"/>
        <color rgb="FF000000"/>
        <rFont val="Aptos Narrow"/>
      </rPr>
      <t xml:space="preserve">Balance Sheet &amp; Financial Position
</t>
    </r>
    <r>
      <rPr>
        <sz val="11"/>
        <color rgb="FF000000"/>
        <rFont val="Aptos Narrow"/>
      </rPr>
      <t xml:space="preserve">
Total assets expanded from R102,356m to R124,944m over the period, reflecting continued investment in the operating base. Total liabilities increased in parallel from R76,078m to R94,827m.
Liquidity tightened gradually, with the current ratio declining from 1.28 to 1.19, while leverage increased moderately, with debt-to-equity rising from 2.90 to 3.15. Although these movements are not immediately concerning, they indicate a reduced liquidity buffer and a higher reliance on efficient working capital management and cash flow discipline.</t>
    </r>
  </si>
  <si>
    <r>
      <rPr>
        <b/>
        <sz val="11"/>
        <color rgb="FF000000"/>
        <rFont val="Aptos Narrow"/>
      </rPr>
      <t xml:space="preserve">Key Takeaways / Watch Items
</t>
    </r>
    <r>
      <rPr>
        <sz val="11"/>
        <color rgb="FF000000"/>
        <rFont val="Aptos Narrow"/>
      </rPr>
      <t xml:space="preserve">
- Growth remains healthy but is moderating, shifting management focus from expansion toward productivity, efficiency, and margin preservation.
- Margins are stable, suggesting strong cost control; however, sustainability should be assessed against inflationary pressures and competitive pricing dynamics.
- Cash conversion volatility is the primary swing factor, requiring deeper analysis of working capital drivers.
- Leverage and liquidity are tightening, reinforcing the importance of disciplined capital allocation and balance sheet management.</t>
    </r>
  </si>
  <si>
    <r>
      <rPr>
        <b/>
        <sz val="11"/>
        <color rgb="FF000000"/>
        <rFont val="Aptos Narrow"/>
      </rPr>
      <t xml:space="preserve">Key Risks
</t>
    </r>
    <r>
      <rPr>
        <sz val="11"/>
        <color rgb="FF000000"/>
        <rFont val="Aptos Narrow"/>
      </rPr>
      <t xml:space="preserve">
- Working capital pressure and variability in cash conversion
- Margin compression from input cost inflation or heightened price competition
- Gradual tightening of liquidity as leverage increases</t>
    </r>
  </si>
  <si>
    <r>
      <rPr>
        <b/>
        <sz val="11"/>
        <color rgb="FF000000"/>
        <rFont val="Aptos Narrow"/>
      </rPr>
      <t xml:space="preserve">Next Analysis Priorities
</t>
    </r>
    <r>
      <rPr>
        <sz val="11"/>
        <color rgb="FF000000"/>
        <rFont val="Aptos Narrow"/>
      </rPr>
      <t xml:space="preserve">
- Detailed working capital analysis (inventory, payables, receivables days)
- Store-level or segment productivity analysis (subject to data availability)
- Interest coverage and lease liability sensitivity analysis, given retail exposure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</si>
</sst>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Calibri"/>
      <family val="2"/>
      <scheme val="minor"/>
    </font>
    <font>
      <sz val="11"/>
      <color theme="1"/>
      <name val="Aptos Narrow"/>
    </font>
    <font>
      <b/>
      <sz val="11"/>
      <color theme="1"/>
      <name val="Aptos Narrow"/>
    </font>
    <font>
      <b/>
      <sz val="14"/>
      <color rgb="FF000000"/>
      <name val="Aptos Narrow"/>
    </font>
    <font>
      <b/>
      <sz val="11"/>
      <color rgb="FF000000"/>
      <name val="Aptos Narrow"/>
    </font>
    <font>
      <sz val="11"/>
      <color rgb="FF000000"/>
      <name val="Aptos Narrow"/>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164" fontId="1" fillId="0" borderId="0" xfId="0" applyNumberFormat="1" applyFont="1"/>
    <xf numFmtId="0" fontId="1" fillId="0" borderId="0" xfId="0" applyFont="1" applyAlignment="1">
      <alignment wrapText="1"/>
    </xf>
    <xf numFmtId="2" fontId="1" fillId="0" borderId="0" xfId="0" applyNumberFormat="1" applyFont="1"/>
    <xf numFmtId="10" fontId="1" fillId="0" borderId="0" xfId="0" applyNumberFormat="1" applyFont="1"/>
    <xf numFmtId="0" fontId="1" fillId="0" borderId="1" xfId="0" applyFont="1" applyBorder="1"/>
    <xf numFmtId="164" fontId="1" fillId="0" borderId="1" xfId="0" applyNumberFormat="1" applyFont="1" applyBorder="1"/>
    <xf numFmtId="2" fontId="1" fillId="0" borderId="1" xfId="0" applyNumberFormat="1" applyFont="1" applyBorder="1"/>
    <xf numFmtId="10" fontId="1" fillId="0" borderId="1" xfId="0" applyNumberFormat="1" applyFont="1" applyBorder="1"/>
    <xf numFmtId="0" fontId="3" fillId="0" borderId="0" xfId="0" applyFont="1" applyAlignment="1">
      <alignment wrapText="1"/>
    </xf>
    <xf numFmtId="0" fontId="2" fillId="0" borderId="0" xfId="0" applyFont="1" applyAlignment="1">
      <alignment horizontal="right"/>
    </xf>
    <xf numFmtId="0" fontId="5" fillId="0" borderId="0" xfId="0" applyFont="1" applyAlignment="1">
      <alignment wrapText="1"/>
    </xf>
  </cellXfs>
  <cellStyles count="1">
    <cellStyle name="Normal" xfId="0" builtinId="0"/>
  </cellStyles>
  <dxfs count="46">
    <dxf>
      <font>
        <b val="0"/>
        <i val="0"/>
        <strike val="0"/>
        <condense val="0"/>
        <extend val="0"/>
        <outline val="0"/>
        <shadow val="0"/>
        <u val="none"/>
        <vertAlign val="baseline"/>
        <sz val="11"/>
        <color theme="1"/>
        <name val="Aptos Narrow"/>
        <scheme val="none"/>
      </font>
      <numFmt numFmtId="164" formatCode="0.0%"/>
    </dxf>
    <dxf>
      <font>
        <b val="0"/>
        <i val="0"/>
        <strike val="0"/>
        <condense val="0"/>
        <extend val="0"/>
        <outline val="0"/>
        <shadow val="0"/>
        <u val="none"/>
        <vertAlign val="baseline"/>
        <sz val="11"/>
        <color theme="1"/>
        <name val="Aptos Narrow"/>
        <scheme val="none"/>
      </font>
      <numFmt numFmtId="164" formatCode="0.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numFmt numFmtId="2" formatCode="0.0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1"/>
        <name val="Aptos Narrow"/>
        <scheme val="none"/>
      </font>
    </dxf>
    <dxf>
      <font>
        <b/>
        <i val="0"/>
        <strike val="0"/>
        <condense val="0"/>
        <extend val="0"/>
        <outline val="0"/>
        <shadow val="0"/>
        <u val="none"/>
        <vertAlign val="baseline"/>
        <sz val="11"/>
        <color theme="1"/>
        <name val="Aptos Narrow"/>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 (FY2023-FY2025)</a:t>
            </a:r>
          </a:p>
        </c:rich>
      </c:tx>
      <c:layout>
        <c:manualLayout>
          <c:xMode val="edge"/>
          <c:yMode val="edge"/>
          <c:x val="0.29947138834748316"/>
          <c:y val="4.4724409448818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'08_Trends'!$A$2</c:f>
              <c:strCache>
                <c:ptCount val="1"/>
                <c:pt idx="0">
                  <c:v>Revenue</c:v>
                </c:pt>
              </c:strCache>
            </c:strRef>
          </c:tx>
          <c:spPr>
            <a:ln w="28575" cap="rnd">
              <a:solidFill>
                <a:schemeClr val="accent1"/>
              </a:solidFill>
              <a:round/>
            </a:ln>
            <a:effectLst/>
          </c:spPr>
          <c:marker>
            <c:symbol val="none"/>
          </c:marker>
          <c:cat>
            <c:strRef>
              <c:f>'08_Trends'!$B$1:$D$1</c:f>
              <c:strCache>
                <c:ptCount val="3"/>
                <c:pt idx="0">
                  <c:v>FY2023</c:v>
                </c:pt>
                <c:pt idx="1">
                  <c:v>FY2024</c:v>
                </c:pt>
                <c:pt idx="2">
                  <c:v>FY2025</c:v>
                </c:pt>
              </c:strCache>
            </c:strRef>
          </c:cat>
          <c:val>
            <c:numRef>
              <c:f>'08_Trends'!$B$2:$D$2</c:f>
              <c:numCache>
                <c:formatCode>General</c:formatCode>
                <c:ptCount val="3"/>
                <c:pt idx="0">
                  <c:v>219530</c:v>
                </c:pt>
                <c:pt idx="1">
                  <c:v>246082</c:v>
                </c:pt>
                <c:pt idx="2">
                  <c:v>256682</c:v>
                </c:pt>
              </c:numCache>
            </c:numRef>
          </c:val>
          <c:smooth val="0"/>
          <c:extLst>
            <c:ext xmlns:c16="http://schemas.microsoft.com/office/drawing/2014/chart" uri="{C3380CC4-5D6E-409C-BE32-E72D297353CC}">
              <c16:uniqueId val="{00000000-13FC-4C37-B551-3FB24BFB0ADD}"/>
            </c:ext>
          </c:extLst>
        </c:ser>
        <c:dLbls>
          <c:showLegendKey val="0"/>
          <c:showVal val="0"/>
          <c:showCatName val="0"/>
          <c:showSerName val="0"/>
          <c:showPercent val="0"/>
          <c:showBubbleSize val="0"/>
        </c:dLbls>
        <c:smooth val="0"/>
        <c:axId val="1193063431"/>
        <c:axId val="1193065991"/>
      </c:lineChart>
      <c:catAx>
        <c:axId val="1193063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65991"/>
        <c:crosses val="autoZero"/>
        <c:auto val="1"/>
        <c:lblAlgn val="ctr"/>
        <c:lblOffset val="100"/>
        <c:noMultiLvlLbl val="0"/>
      </c:catAx>
      <c:valAx>
        <c:axId val="1193065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63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Trends (FY2023-FY2025)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'08_Trends'!$A$6</c:f>
              <c:strCache>
                <c:ptCount val="1"/>
                <c:pt idx="0">
                  <c:v>Gross margin %</c:v>
                </c:pt>
              </c:strCache>
            </c:strRef>
          </c:tx>
          <c:spPr>
            <a:ln w="28575" cap="rnd">
              <a:solidFill>
                <a:schemeClr val="accent1"/>
              </a:solidFill>
              <a:round/>
            </a:ln>
            <a:effectLst/>
          </c:spPr>
          <c:marker>
            <c:symbol val="none"/>
          </c:marker>
          <c:cat>
            <c:strRef>
              <c:f>'08_Trends'!B1:D1</c:f>
              <c:strCache>
                <c:ptCount val="3"/>
                <c:pt idx="0">
                  <c:v>FY2023</c:v>
                </c:pt>
                <c:pt idx="1">
                  <c:v>FY2024</c:v>
                </c:pt>
                <c:pt idx="2">
                  <c:v>FY2025</c:v>
                </c:pt>
              </c:strCache>
            </c:strRef>
          </c:cat>
          <c:val>
            <c:numRef>
              <c:f>'08_Trends'!$B$6:$D$6</c:f>
              <c:numCache>
                <c:formatCode>0.0%</c:formatCode>
                <c:ptCount val="3"/>
                <c:pt idx="0">
                  <c:v>0.24054225050708053</c:v>
                </c:pt>
                <c:pt idx="1">
                  <c:v>0.23990727739512624</c:v>
                </c:pt>
                <c:pt idx="2">
                  <c:v>0.24314110351759588</c:v>
                </c:pt>
              </c:numCache>
            </c:numRef>
          </c:val>
          <c:smooth val="0"/>
          <c:extLst>
            <c:ext xmlns:c16="http://schemas.microsoft.com/office/drawing/2014/chart" uri="{C3380CC4-5D6E-409C-BE32-E72D297353CC}">
              <c16:uniqueId val="{00000000-A6AC-4EF8-A09B-103CED2963FC}"/>
            </c:ext>
          </c:extLst>
        </c:ser>
        <c:ser>
          <c:idx val="1"/>
          <c:order val="1"/>
          <c:tx>
            <c:strRef>
              <c:f>'08_Trends'!$A$7</c:f>
              <c:strCache>
                <c:ptCount val="1"/>
                <c:pt idx="0">
                  <c:v>Operating margin %</c:v>
                </c:pt>
              </c:strCache>
            </c:strRef>
          </c:tx>
          <c:spPr>
            <a:ln w="28575" cap="rnd">
              <a:solidFill>
                <a:schemeClr val="accent2"/>
              </a:solidFill>
              <a:round/>
            </a:ln>
            <a:effectLst/>
          </c:spPr>
          <c:marker>
            <c:symbol val="none"/>
          </c:marker>
          <c:cat>
            <c:strRef>
              <c:f>'08_Trends'!B1:D1</c:f>
              <c:strCache>
                <c:ptCount val="3"/>
                <c:pt idx="0">
                  <c:v>FY2023</c:v>
                </c:pt>
                <c:pt idx="1">
                  <c:v>FY2024</c:v>
                </c:pt>
                <c:pt idx="2">
                  <c:v>FY2025</c:v>
                </c:pt>
              </c:strCache>
            </c:strRef>
          </c:cat>
          <c:val>
            <c:numRef>
              <c:f>'08_Trends'!$B$7:$D$7</c:f>
              <c:numCache>
                <c:formatCode>0.0%</c:formatCode>
                <c:ptCount val="3"/>
                <c:pt idx="0">
                  <c:v>5.6229216963512962E-2</c:v>
                </c:pt>
                <c:pt idx="1">
                  <c:v>5.3461854178688407E-2</c:v>
                </c:pt>
                <c:pt idx="2">
                  <c:v>5.8216002680359355E-2</c:v>
                </c:pt>
              </c:numCache>
            </c:numRef>
          </c:val>
          <c:smooth val="0"/>
          <c:extLst>
            <c:ext xmlns:c16="http://schemas.microsoft.com/office/drawing/2014/chart" uri="{C3380CC4-5D6E-409C-BE32-E72D297353CC}">
              <c16:uniqueId val="{00000001-A6AC-4EF8-A09B-103CED2963FC}"/>
            </c:ext>
          </c:extLst>
        </c:ser>
        <c:ser>
          <c:idx val="2"/>
          <c:order val="2"/>
          <c:tx>
            <c:strRef>
              <c:f>'08_Trends'!$A$8</c:f>
              <c:strCache>
                <c:ptCount val="1"/>
                <c:pt idx="0">
                  <c:v>Net margin %</c:v>
                </c:pt>
              </c:strCache>
            </c:strRef>
          </c:tx>
          <c:spPr>
            <a:ln w="28575" cap="rnd">
              <a:solidFill>
                <a:schemeClr val="accent3"/>
              </a:solidFill>
              <a:round/>
            </a:ln>
            <a:effectLst/>
          </c:spPr>
          <c:marker>
            <c:symbol val="none"/>
          </c:marker>
          <c:cat>
            <c:strRef>
              <c:f>'08_Trends'!B1:D1</c:f>
              <c:strCache>
                <c:ptCount val="3"/>
                <c:pt idx="0">
                  <c:v>FY2023</c:v>
                </c:pt>
                <c:pt idx="1">
                  <c:v>FY2024</c:v>
                </c:pt>
                <c:pt idx="2">
                  <c:v>FY2025</c:v>
                </c:pt>
              </c:strCache>
            </c:strRef>
          </c:cat>
          <c:val>
            <c:numRef>
              <c:f>'08_Trends'!$B$8:$D$8</c:f>
              <c:numCache>
                <c:formatCode>0.0%</c:formatCode>
                <c:ptCount val="3"/>
                <c:pt idx="0">
                  <c:v>2.8788776021500477E-2</c:v>
                </c:pt>
                <c:pt idx="1">
                  <c:v>2.6588698076251006E-2</c:v>
                </c:pt>
                <c:pt idx="2">
                  <c:v>2.8798279583297622E-2</c:v>
                </c:pt>
              </c:numCache>
            </c:numRef>
          </c:val>
          <c:smooth val="0"/>
          <c:extLst>
            <c:ext xmlns:c16="http://schemas.microsoft.com/office/drawing/2014/chart" uri="{C3380CC4-5D6E-409C-BE32-E72D297353CC}">
              <c16:uniqueId val="{00000002-A6AC-4EF8-A09B-103CED2963FC}"/>
            </c:ext>
          </c:extLst>
        </c:ser>
        <c:dLbls>
          <c:showLegendKey val="0"/>
          <c:showVal val="0"/>
          <c:showCatName val="0"/>
          <c:showSerName val="0"/>
          <c:showPercent val="0"/>
          <c:showBubbleSize val="0"/>
        </c:dLbls>
        <c:smooth val="0"/>
        <c:axId val="1193023495"/>
        <c:axId val="1196685319"/>
      </c:lineChart>
      <c:catAx>
        <c:axId val="1193023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85319"/>
        <c:crosses val="autoZero"/>
        <c:auto val="1"/>
        <c:lblAlgn val="ctr"/>
        <c:lblOffset val="100"/>
        <c:noMultiLvlLbl val="0"/>
      </c:catAx>
      <c:valAx>
        <c:axId val="11966853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23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Balance Sheet Growth (FY2023-FY2025)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'08_Trends'!$A$10</c:f>
              <c:strCache>
                <c:ptCount val="1"/>
                <c:pt idx="0">
                  <c:v>Total assets</c:v>
                </c:pt>
              </c:strCache>
            </c:strRef>
          </c:tx>
          <c:spPr>
            <a:ln w="28575" cap="rnd">
              <a:solidFill>
                <a:schemeClr val="accent1"/>
              </a:solidFill>
              <a:round/>
            </a:ln>
            <a:effectLst/>
          </c:spPr>
          <c:marker>
            <c:symbol val="none"/>
          </c:marker>
          <c:cat>
            <c:strRef>
              <c:f>'08_Trends'!B1:D1</c:f>
              <c:strCache>
                <c:ptCount val="3"/>
                <c:pt idx="0">
                  <c:v>FY2023</c:v>
                </c:pt>
                <c:pt idx="1">
                  <c:v>FY2024</c:v>
                </c:pt>
                <c:pt idx="2">
                  <c:v>FY2025</c:v>
                </c:pt>
              </c:strCache>
            </c:strRef>
          </c:cat>
          <c:val>
            <c:numRef>
              <c:f>'08_Trends'!$B$10:$D$10</c:f>
              <c:numCache>
                <c:formatCode>General</c:formatCode>
                <c:ptCount val="3"/>
                <c:pt idx="0">
                  <c:v>102356</c:v>
                </c:pt>
                <c:pt idx="1">
                  <c:v>112328</c:v>
                </c:pt>
                <c:pt idx="2">
                  <c:v>124944</c:v>
                </c:pt>
              </c:numCache>
            </c:numRef>
          </c:val>
          <c:smooth val="0"/>
          <c:extLst>
            <c:ext xmlns:c16="http://schemas.microsoft.com/office/drawing/2014/chart" uri="{C3380CC4-5D6E-409C-BE32-E72D297353CC}">
              <c16:uniqueId val="{00000000-0EA3-4288-B1D8-103C20F5B62A}"/>
            </c:ext>
          </c:extLst>
        </c:ser>
        <c:ser>
          <c:idx val="1"/>
          <c:order val="1"/>
          <c:tx>
            <c:strRef>
              <c:f>'08_Trends'!$A$11</c:f>
              <c:strCache>
                <c:ptCount val="1"/>
                <c:pt idx="0">
                  <c:v>Total equity</c:v>
                </c:pt>
              </c:strCache>
            </c:strRef>
          </c:tx>
          <c:spPr>
            <a:ln w="28575" cap="rnd">
              <a:solidFill>
                <a:schemeClr val="accent2"/>
              </a:solidFill>
              <a:round/>
            </a:ln>
            <a:effectLst/>
          </c:spPr>
          <c:marker>
            <c:symbol val="none"/>
          </c:marker>
          <c:cat>
            <c:strRef>
              <c:f>'08_Trends'!B1:D1</c:f>
              <c:strCache>
                <c:ptCount val="3"/>
                <c:pt idx="0">
                  <c:v>FY2023</c:v>
                </c:pt>
                <c:pt idx="1">
                  <c:v>FY2024</c:v>
                </c:pt>
                <c:pt idx="2">
                  <c:v>FY2025</c:v>
                </c:pt>
              </c:strCache>
            </c:strRef>
          </c:cat>
          <c:val>
            <c:numRef>
              <c:f>'08_Trends'!$B$11:$D$11</c:f>
              <c:numCache>
                <c:formatCode>General</c:formatCode>
                <c:ptCount val="3"/>
                <c:pt idx="0">
                  <c:v>26278</c:v>
                </c:pt>
                <c:pt idx="1">
                  <c:v>27724</c:v>
                </c:pt>
                <c:pt idx="2">
                  <c:v>30117</c:v>
                </c:pt>
              </c:numCache>
            </c:numRef>
          </c:val>
          <c:smooth val="0"/>
          <c:extLst>
            <c:ext xmlns:c16="http://schemas.microsoft.com/office/drawing/2014/chart" uri="{C3380CC4-5D6E-409C-BE32-E72D297353CC}">
              <c16:uniqueId val="{00000001-0EA3-4288-B1D8-103C20F5B62A}"/>
            </c:ext>
          </c:extLst>
        </c:ser>
        <c:ser>
          <c:idx val="2"/>
          <c:order val="2"/>
          <c:tx>
            <c:strRef>
              <c:f>'08_Trends'!$A$12</c:f>
              <c:strCache>
                <c:ptCount val="1"/>
                <c:pt idx="0">
                  <c:v>Total liabilities</c:v>
                </c:pt>
              </c:strCache>
            </c:strRef>
          </c:tx>
          <c:spPr>
            <a:ln w="28575" cap="rnd">
              <a:solidFill>
                <a:schemeClr val="accent3"/>
              </a:solidFill>
              <a:round/>
            </a:ln>
            <a:effectLst/>
          </c:spPr>
          <c:marker>
            <c:symbol val="none"/>
          </c:marker>
          <c:cat>
            <c:strRef>
              <c:f>'08_Trends'!B1:D1</c:f>
              <c:strCache>
                <c:ptCount val="3"/>
                <c:pt idx="0">
                  <c:v>FY2023</c:v>
                </c:pt>
                <c:pt idx="1">
                  <c:v>FY2024</c:v>
                </c:pt>
                <c:pt idx="2">
                  <c:v>FY2025</c:v>
                </c:pt>
              </c:strCache>
            </c:strRef>
          </c:cat>
          <c:val>
            <c:numRef>
              <c:f>'08_Trends'!$B$12:$D$12</c:f>
              <c:numCache>
                <c:formatCode>General</c:formatCode>
                <c:ptCount val="3"/>
                <c:pt idx="0">
                  <c:v>76078</c:v>
                </c:pt>
                <c:pt idx="1">
                  <c:v>84604</c:v>
                </c:pt>
                <c:pt idx="2">
                  <c:v>94827</c:v>
                </c:pt>
              </c:numCache>
            </c:numRef>
          </c:val>
          <c:smooth val="0"/>
          <c:extLst>
            <c:ext xmlns:c16="http://schemas.microsoft.com/office/drawing/2014/chart" uri="{C3380CC4-5D6E-409C-BE32-E72D297353CC}">
              <c16:uniqueId val="{00000002-0EA3-4288-B1D8-103C20F5B62A}"/>
            </c:ext>
          </c:extLst>
        </c:ser>
        <c:dLbls>
          <c:showLegendKey val="0"/>
          <c:showVal val="0"/>
          <c:showCatName val="0"/>
          <c:showSerName val="0"/>
          <c:showPercent val="0"/>
          <c:showBubbleSize val="0"/>
        </c:dLbls>
        <c:smooth val="0"/>
        <c:axId val="1737294343"/>
        <c:axId val="1737296391"/>
      </c:lineChart>
      <c:catAx>
        <c:axId val="1737294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96391"/>
        <c:crosses val="autoZero"/>
        <c:auto val="1"/>
        <c:lblAlgn val="ctr"/>
        <c:lblOffset val="100"/>
        <c:noMultiLvlLbl val="0"/>
      </c:catAx>
      <c:valAx>
        <c:axId val="1737296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94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 Operating Cash Flow (FY2023–FY2025)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'08_Trends'!$A$4</c:f>
              <c:strCache>
                <c:ptCount val="1"/>
                <c:pt idx="0">
                  <c:v>Operating profit</c:v>
                </c:pt>
              </c:strCache>
            </c:strRef>
          </c:tx>
          <c:spPr>
            <a:solidFill>
              <a:schemeClr val="accent1"/>
            </a:solidFill>
            <a:ln>
              <a:noFill/>
            </a:ln>
            <a:effectLst/>
          </c:spPr>
          <c:invertIfNegative val="0"/>
          <c:cat>
            <c:strRef>
              <c:f>'08_Trends'!B1:D1</c:f>
              <c:strCache>
                <c:ptCount val="3"/>
                <c:pt idx="0">
                  <c:v>FY2023</c:v>
                </c:pt>
                <c:pt idx="1">
                  <c:v>FY2024</c:v>
                </c:pt>
                <c:pt idx="2">
                  <c:v>FY2025</c:v>
                </c:pt>
              </c:strCache>
            </c:strRef>
          </c:cat>
          <c:val>
            <c:numRef>
              <c:f>'08_Trends'!$B$4:$D$4</c:f>
              <c:numCache>
                <c:formatCode>General</c:formatCode>
                <c:ptCount val="3"/>
                <c:pt idx="0">
                  <c:v>12344</c:v>
                </c:pt>
                <c:pt idx="1">
                  <c:v>13156</c:v>
                </c:pt>
                <c:pt idx="2">
                  <c:v>14943</c:v>
                </c:pt>
              </c:numCache>
            </c:numRef>
          </c:val>
          <c:extLst>
            <c:ext xmlns:c16="http://schemas.microsoft.com/office/drawing/2014/chart" uri="{C3380CC4-5D6E-409C-BE32-E72D297353CC}">
              <c16:uniqueId val="{00000000-B634-4709-B581-779CF228AA37}"/>
            </c:ext>
          </c:extLst>
        </c:ser>
        <c:ser>
          <c:idx val="1"/>
          <c:order val="1"/>
          <c:tx>
            <c:strRef>
              <c:f>'08_Trends'!$A$5</c:f>
              <c:strCache>
                <c:ptCount val="1"/>
                <c:pt idx="0">
                  <c:v>Profit after tax</c:v>
                </c:pt>
              </c:strCache>
            </c:strRef>
          </c:tx>
          <c:spPr>
            <a:solidFill>
              <a:schemeClr val="accent2"/>
            </a:solidFill>
            <a:ln>
              <a:noFill/>
            </a:ln>
            <a:effectLst/>
          </c:spPr>
          <c:invertIfNegative val="0"/>
          <c:cat>
            <c:strRef>
              <c:f>'08_Trends'!B1:D1</c:f>
              <c:strCache>
                <c:ptCount val="3"/>
                <c:pt idx="0">
                  <c:v>FY2023</c:v>
                </c:pt>
                <c:pt idx="1">
                  <c:v>FY2024</c:v>
                </c:pt>
                <c:pt idx="2">
                  <c:v>FY2025</c:v>
                </c:pt>
              </c:strCache>
            </c:strRef>
          </c:cat>
          <c:val>
            <c:numRef>
              <c:f>'08_Trends'!$B$5:$D$5</c:f>
              <c:numCache>
                <c:formatCode>General</c:formatCode>
                <c:ptCount val="3"/>
                <c:pt idx="0">
                  <c:v>6320</c:v>
                </c:pt>
                <c:pt idx="1">
                  <c:v>6543</c:v>
                </c:pt>
                <c:pt idx="2">
                  <c:v>7392</c:v>
                </c:pt>
              </c:numCache>
            </c:numRef>
          </c:val>
          <c:extLst>
            <c:ext xmlns:c16="http://schemas.microsoft.com/office/drawing/2014/chart" uri="{C3380CC4-5D6E-409C-BE32-E72D297353CC}">
              <c16:uniqueId val="{00000001-B634-4709-B581-779CF228AA37}"/>
            </c:ext>
          </c:extLst>
        </c:ser>
        <c:dLbls>
          <c:showLegendKey val="0"/>
          <c:showVal val="0"/>
          <c:showCatName val="0"/>
          <c:showSerName val="0"/>
          <c:showPercent val="0"/>
          <c:showBubbleSize val="0"/>
        </c:dLbls>
        <c:gapWidth val="219"/>
        <c:overlap val="-27"/>
        <c:axId val="1308086792"/>
        <c:axId val="1308088840"/>
      </c:barChart>
      <c:catAx>
        <c:axId val="1308086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88840"/>
        <c:crosses val="autoZero"/>
        <c:auto val="1"/>
        <c:lblAlgn val="ctr"/>
        <c:lblOffset val="100"/>
        <c:noMultiLvlLbl val="0"/>
      </c:catAx>
      <c:valAx>
        <c:axId val="1308088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086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590550</xdr:colOff>
      <xdr:row>24</xdr:row>
      <xdr:rowOff>0</xdr:rowOff>
    </xdr:to>
    <xdr:graphicFrame macro="">
      <xdr:nvGraphicFramePr>
        <xdr:cNvPr id="3" name="Chart 2">
          <a:extLst>
            <a:ext uri="{FF2B5EF4-FFF2-40B4-BE49-F238E27FC236}">
              <a16:creationId xmlns:a16="http://schemas.microsoft.com/office/drawing/2014/main" id="{2B34E9F0-82A5-4232-A469-F338C5C41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600075</xdr:colOff>
      <xdr:row>7</xdr:row>
      <xdr:rowOff>0</xdr:rowOff>
    </xdr:from>
    <xdr:to>
      <xdr:col>18</xdr:col>
      <xdr:colOff>590550</xdr:colOff>
      <xdr:row>24</xdr:row>
      <xdr:rowOff>0</xdr:rowOff>
    </xdr:to>
    <xdr:graphicFrame macro="">
      <xdr:nvGraphicFramePr>
        <xdr:cNvPr id="4" name="Chart 3">
          <a:extLst>
            <a:ext uri="{FF2B5EF4-FFF2-40B4-BE49-F238E27FC236}">
              <a16:creationId xmlns:a16="http://schemas.microsoft.com/office/drawing/2014/main" id="{214EB46C-E1EA-4D87-AEB0-211C2197F087}"/>
            </a:ext>
            <a:ext uri="{147F2762-F138-4A5C-976F-8EAC2B608ADB}">
              <a16:predDERef xmlns:a16="http://schemas.microsoft.com/office/drawing/2014/main" pred="{2B34E9F0-82A5-4232-A469-F338C5C41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171450</xdr:rowOff>
    </xdr:from>
    <xdr:to>
      <xdr:col>6</xdr:col>
      <xdr:colOff>590550</xdr:colOff>
      <xdr:row>42</xdr:row>
      <xdr:rowOff>0</xdr:rowOff>
    </xdr:to>
    <xdr:graphicFrame macro="">
      <xdr:nvGraphicFramePr>
        <xdr:cNvPr id="2" name="Chart 1">
          <a:extLst>
            <a:ext uri="{FF2B5EF4-FFF2-40B4-BE49-F238E27FC236}">
              <a16:creationId xmlns:a16="http://schemas.microsoft.com/office/drawing/2014/main" id="{125C2FC1-003E-4009-887F-56E03126FC08}"/>
            </a:ext>
            <a:ext uri="{147F2762-F138-4A5C-976F-8EAC2B608ADB}">
              <a16:predDERef xmlns:a16="http://schemas.microsoft.com/office/drawing/2014/main" pred="{214EB46C-E1EA-4D87-AEB0-211C2197F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600075</xdr:colOff>
      <xdr:row>24</xdr:row>
      <xdr:rowOff>180975</xdr:rowOff>
    </xdr:from>
    <xdr:to>
      <xdr:col>18</xdr:col>
      <xdr:colOff>590550</xdr:colOff>
      <xdr:row>41</xdr:row>
      <xdr:rowOff>180975</xdr:rowOff>
    </xdr:to>
    <xdr:graphicFrame macro="">
      <xdr:nvGraphicFramePr>
        <xdr:cNvPr id="6" name="Chart 5">
          <a:extLst>
            <a:ext uri="{FF2B5EF4-FFF2-40B4-BE49-F238E27FC236}">
              <a16:creationId xmlns:a16="http://schemas.microsoft.com/office/drawing/2014/main" id="{4E6AC169-6F2B-4FF7-B7EE-2436986E6DA2}"/>
            </a:ext>
            <a:ext uri="{147F2762-F138-4A5C-976F-8EAC2B608ADB}">
              <a16:predDERef xmlns:a16="http://schemas.microsoft.com/office/drawing/2014/main" pred="{125C2FC1-003E-4009-887F-56E03126F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916A57-1533-4E52-A749-6DEE1918A220}" name="Table1" displayName="Table1" ref="A1:D10" totalsRowShown="0" headerRowDxfId="45" dataDxfId="44">
  <autoFilter ref="A1:D10" xr:uid="{26916A57-1533-4E52-A749-6DEE1918A220}"/>
  <tableColumns count="4">
    <tableColumn id="1" xr3:uid="{FB919E6B-B385-41D2-B40F-94A36EF03F12}" name="Line Item" dataDxfId="43"/>
    <tableColumn id="2" xr3:uid="{E6071624-F000-41A3-94FB-53C11E0A77FC}" name="FY2023" dataDxfId="42"/>
    <tableColumn id="3" xr3:uid="{375DCC7E-D662-4936-A47C-B4F93421D336}" name="FY2024" dataDxfId="41"/>
    <tableColumn id="4" xr3:uid="{3EE4EDE8-37D2-44B7-A842-0DA744347A86}" name="FY2025" dataDxfId="4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460401-797E-4D9A-ACD4-2AE5B116913B}" name="Table2" displayName="Table2" ref="A1:D9" totalsRowShown="0" headerRowDxfId="39" dataDxfId="38">
  <autoFilter ref="A1:D9" xr:uid="{9B460401-797E-4D9A-ACD4-2AE5B116913B}"/>
  <tableColumns count="4">
    <tableColumn id="1" xr3:uid="{96A55BE8-37A6-41DE-8DC6-6C96714FE7E0}" name="Line Item" dataDxfId="37"/>
    <tableColumn id="2" xr3:uid="{5A18DFDD-27F9-42A5-8376-84B4E73B5B56}" name="FY2023" dataDxfId="36"/>
    <tableColumn id="3" xr3:uid="{F9D6B6FF-5CD9-48E1-8CC3-3A47D8939C06}" name="FY2024" dataDxfId="35"/>
    <tableColumn id="4" xr3:uid="{DFB440D6-099B-47A9-8B2B-3C69E0858188}" name="FY2025" dataDxfId="34"/>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02E986-76FB-4A84-B407-398F2A6B6D83}" name="Table3" displayName="Table3" ref="A1:D5" totalsRowShown="0" headerRowDxfId="33" dataDxfId="32">
  <autoFilter ref="A1:D5" xr:uid="{4902E986-76FB-4A84-B407-398F2A6B6D83}"/>
  <tableColumns count="4">
    <tableColumn id="1" xr3:uid="{7873A5AD-4DFF-4B2B-BCF1-AAD399B8240A}" name="Line Item" dataDxfId="31"/>
    <tableColumn id="2" xr3:uid="{9088B5B1-2BCB-4E6D-BF01-27A0E4538EE8}" name="FY2023" dataDxfId="30"/>
    <tableColumn id="3" xr3:uid="{1438A69C-B715-4B3A-8363-5A95A724C555}" name="FY2024" dataDxfId="29"/>
    <tableColumn id="4" xr3:uid="{DDC48F05-6817-453F-B908-99444FB483B2}" name="FY2025" dataDxfId="28"/>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687565-4189-408C-9A54-C9D98F57870A}" name="Table4" displayName="Table4" ref="A1:D14" totalsRowShown="0" headerRowDxfId="27" dataDxfId="26">
  <autoFilter ref="A1:D14" xr:uid="{BA687565-4189-408C-9A54-C9D98F57870A}"/>
  <tableColumns count="4">
    <tableColumn id="1" xr3:uid="{154D8149-B87D-4FD4-9802-830E3B11A688}" name="Line Item" dataDxfId="25"/>
    <tableColumn id="2" xr3:uid="{6D8CCA7E-508C-4397-B04C-3C1FA8C51F0F}" name="FY2023" dataDxfId="24"/>
    <tableColumn id="3" xr3:uid="{AA3DFB5C-4AA4-41A2-8CBC-ABA6146D58FB}" name="FY2024" dataDxfId="23"/>
    <tableColumn id="4" xr3:uid="{0F26C0A7-1348-4117-9D8A-89EA22F03521}" name="FY2025" dataDxfId="22"/>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185A88-2592-4EF5-A1E4-2B24EC58C673}" name="Table5" displayName="Table5" ref="A1:D35" totalsRowShown="0" headerRowDxfId="21" dataDxfId="20">
  <autoFilter ref="A1:D35" xr:uid="{AC185A88-2592-4EF5-A1E4-2B24EC58C673}"/>
  <tableColumns count="4">
    <tableColumn id="1" xr3:uid="{267B0991-43EC-4F2A-B7D8-D45F6A8B6CE4}" name="Line Item" dataDxfId="19"/>
    <tableColumn id="2" xr3:uid="{D03128F3-4001-49EE-9808-B91BC149EA9D}" name="FY2023" dataDxfId="18"/>
    <tableColumn id="3" xr3:uid="{F0514857-DCBE-4C97-AA72-79705E258038}" name="FY2024" dataDxfId="17"/>
    <tableColumn id="4" xr3:uid="{79054577-E6BB-4C49-B7EA-9E07853877A5}" name="FY2025" dataDxfId="16"/>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E7F221-71DF-4452-9CE7-1B985E2AB49E}" name="Table6" displayName="Table6" ref="A1:D20" totalsRowShown="0" headerRowDxfId="15" dataDxfId="14">
  <autoFilter ref="A1:D20" xr:uid="{7EE7F221-71DF-4452-9CE7-1B985E2AB49E}"/>
  <tableColumns count="4">
    <tableColumn id="1" xr3:uid="{26BBA291-E532-4D8E-B4DA-92A200C78CE7}" name="Line Item" dataDxfId="13"/>
    <tableColumn id="2" xr3:uid="{AE7FBCD8-18C7-4271-AAED-A8695C75B09C}" name="FY2023" dataDxfId="12"/>
    <tableColumn id="3" xr3:uid="{D52B5FCF-C006-4566-A2CE-77A44613B8F0}" name="FY2024" dataDxfId="11"/>
    <tableColumn id="4" xr3:uid="{FA07CD54-BEA1-48CA-B31A-EF697858AF84}" name="FY2025" dataDxfId="10"/>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05B867-778C-41C8-8E7A-6C98DC110699}" name="Table7" displayName="Table7" ref="A1:D16" totalsRowShown="0" headerRowDxfId="9" dataDxfId="8">
  <autoFilter ref="A1:D16" xr:uid="{F605B867-778C-41C8-8E7A-6C98DC110699}"/>
  <tableColumns count="4">
    <tableColumn id="1" xr3:uid="{B130D3FC-D9E0-4471-BC39-D473CA65F1B0}" name="Ratio" dataDxfId="7"/>
    <tableColumn id="2" xr3:uid="{D6D298C5-9F40-4E0A-90A2-0E7513390BB0}" name="FY2023" dataDxfId="6"/>
    <tableColumn id="3" xr3:uid="{B97EB850-68DF-47E2-AB6C-EE8E830E0176}" name="FY2024" dataDxfId="5"/>
    <tableColumn id="4" xr3:uid="{369BE64E-F17F-4796-8C60-35F1BDE3E5E7}" name="FY2025" dataDxfId="4"/>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3839516-3CCC-4148-BF8E-003AD6DEB38B}" name="Table8" displayName="Table8" ref="A1:F22" totalsRowShown="0" headerRowDxfId="3">
  <autoFilter ref="A1:F22" xr:uid="{D3839516-3CCC-4148-BF8E-003AD6DEB38B}"/>
  <tableColumns count="6">
    <tableColumn id="1" xr3:uid="{C275B0ED-6E1B-4CA5-9C84-22DF3D64A0F6}" name="Metric" dataDxfId="2"/>
    <tableColumn id="2" xr3:uid="{8DFD841C-D367-44E2-B73B-A340FAB11EA6}" name="FY2023"/>
    <tableColumn id="3" xr3:uid="{90DD9EE3-8610-4637-B089-A86659E04A88}" name="FY2024"/>
    <tableColumn id="4" xr3:uid="{BB92A9C2-6C2D-408C-8DAB-14FBCF00E259}" name="FY2025"/>
    <tableColumn id="5" xr3:uid="{4E1F9B09-B4C9-4166-AB5D-311737E384C4}" name="YoY % (23 → 24)" dataDxfId="1">
      <calculatedColumnFormula>(C2/B2)-1</calculatedColumnFormula>
    </tableColumn>
    <tableColumn id="6" xr3:uid="{F42A2F04-00BB-4313-839D-EA21A07C2DD1}" name="YoY % (24 → 25)" dataDxfId="0">
      <calculatedColumnFormula>(D2/C2)-1</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11" sqref="D11"/>
    </sheetView>
  </sheetViews>
  <sheetFormatPr defaultRowHeight="15"/>
  <cols>
    <col min="1" max="1" width="17.7109375" bestFit="1" customWidth="1"/>
  </cols>
  <sheetData>
    <row r="1" spans="1:4">
      <c r="A1" s="2" t="s">
        <v>0</v>
      </c>
      <c r="B1" s="1" t="s">
        <v>1</v>
      </c>
      <c r="C1" s="1"/>
      <c r="D1" s="1"/>
    </row>
    <row r="2" spans="1:4">
      <c r="A2" s="2" t="s">
        <v>2</v>
      </c>
      <c r="B2" s="1" t="s">
        <v>3</v>
      </c>
      <c r="C2" s="1"/>
      <c r="D2" s="1"/>
    </row>
    <row r="3" spans="1:4">
      <c r="A3" s="1"/>
      <c r="B3" s="1"/>
      <c r="C3" s="1"/>
      <c r="D3" s="1"/>
    </row>
    <row r="4" spans="1:4">
      <c r="A4" s="2" t="s">
        <v>4</v>
      </c>
      <c r="B4" s="2" t="s">
        <v>5</v>
      </c>
      <c r="C4" s="2" t="s">
        <v>6</v>
      </c>
      <c r="D4"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A468-3AAB-4B20-9047-59E8EE42CE50}">
  <dimension ref="A1:D10"/>
  <sheetViews>
    <sheetView workbookViewId="0">
      <selection activeCell="F1" sqref="F1"/>
    </sheetView>
  </sheetViews>
  <sheetFormatPr defaultRowHeight="15"/>
  <cols>
    <col min="1" max="1" width="18.5703125" bestFit="1" customWidth="1"/>
    <col min="2" max="4" width="9.7109375" bestFit="1" customWidth="1"/>
  </cols>
  <sheetData>
    <row r="1" spans="1:4">
      <c r="A1" s="2" t="s">
        <v>8</v>
      </c>
      <c r="B1" s="2" t="s">
        <v>5</v>
      </c>
      <c r="C1" s="2" t="s">
        <v>6</v>
      </c>
      <c r="D1" s="2" t="s">
        <v>7</v>
      </c>
    </row>
    <row r="2" spans="1:4">
      <c r="A2" s="1" t="s">
        <v>9</v>
      </c>
      <c r="B2" s="1">
        <v>219530</v>
      </c>
      <c r="C2" s="1">
        <v>246082</v>
      </c>
      <c r="D2" s="1">
        <v>256682</v>
      </c>
    </row>
    <row r="3" spans="1:4">
      <c r="A3" s="1" t="s">
        <v>10</v>
      </c>
      <c r="B3" s="1">
        <v>214956</v>
      </c>
      <c r="C3" s="1">
        <v>240718</v>
      </c>
      <c r="D3" s="1">
        <v>252701</v>
      </c>
    </row>
    <row r="4" spans="1:4">
      <c r="A4" s="1" t="s">
        <v>11</v>
      </c>
      <c r="B4" s="1">
        <v>163250</v>
      </c>
      <c r="C4" s="1">
        <v>182968</v>
      </c>
      <c r="D4" s="1">
        <v>191259</v>
      </c>
    </row>
    <row r="5" spans="1:4">
      <c r="A5" s="1" t="s">
        <v>12</v>
      </c>
      <c r="B5" s="1">
        <v>51706</v>
      </c>
      <c r="C5" s="1">
        <v>57750</v>
      </c>
      <c r="D5" s="1">
        <v>61442</v>
      </c>
    </row>
    <row r="6" spans="1:4">
      <c r="A6" s="1" t="s">
        <v>13</v>
      </c>
      <c r="B6" s="1">
        <v>12344</v>
      </c>
      <c r="C6" s="1">
        <v>13156</v>
      </c>
      <c r="D6" s="1">
        <v>14943</v>
      </c>
    </row>
    <row r="7" spans="1:4">
      <c r="A7" s="1" t="s">
        <v>14</v>
      </c>
      <c r="B7" s="1">
        <v>3665</v>
      </c>
      <c r="C7" s="1">
        <v>4306</v>
      </c>
      <c r="D7" s="1">
        <v>5115</v>
      </c>
    </row>
    <row r="8" spans="1:4">
      <c r="A8" s="1" t="s">
        <v>15</v>
      </c>
      <c r="B8" s="1">
        <v>9132</v>
      </c>
      <c r="C8" s="1">
        <v>9379</v>
      </c>
      <c r="D8" s="1">
        <v>10185</v>
      </c>
    </row>
    <row r="9" spans="1:4">
      <c r="A9" s="1" t="s">
        <v>16</v>
      </c>
      <c r="B9" s="1">
        <v>2812</v>
      </c>
      <c r="C9" s="1">
        <v>2836</v>
      </c>
      <c r="D9" s="1">
        <v>2793</v>
      </c>
    </row>
    <row r="10" spans="1:4">
      <c r="A10" s="1" t="s">
        <v>17</v>
      </c>
      <c r="B10" s="1">
        <v>5901</v>
      </c>
      <c r="C10" s="1">
        <v>6221</v>
      </c>
      <c r="D10" s="1">
        <v>7583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2681-F6E6-4A03-A05C-6EDFFE8FDD1C}">
  <dimension ref="A1:D9"/>
  <sheetViews>
    <sheetView workbookViewId="0">
      <selection activeCell="H12" sqref="H12"/>
    </sheetView>
  </sheetViews>
  <sheetFormatPr defaultRowHeight="15"/>
  <cols>
    <col min="1" max="1" width="25.28515625" bestFit="1" customWidth="1"/>
    <col min="2" max="4" width="9.7109375" bestFit="1" customWidth="1"/>
  </cols>
  <sheetData>
    <row r="1" spans="1:4">
      <c r="A1" s="2" t="s">
        <v>8</v>
      </c>
      <c r="B1" s="2" t="s">
        <v>5</v>
      </c>
      <c r="C1" s="2" t="s">
        <v>6</v>
      </c>
      <c r="D1" s="2" t="s">
        <v>7</v>
      </c>
    </row>
    <row r="2" spans="1:4">
      <c r="A2" s="1" t="s">
        <v>18</v>
      </c>
      <c r="B2" s="1">
        <v>102356</v>
      </c>
      <c r="C2" s="1">
        <v>112328</v>
      </c>
      <c r="D2" s="1">
        <v>124944</v>
      </c>
    </row>
    <row r="3" spans="1:4">
      <c r="A3" s="1" t="s">
        <v>19</v>
      </c>
      <c r="B3" s="1">
        <v>47871</v>
      </c>
      <c r="C3" s="1">
        <v>50059</v>
      </c>
      <c r="D3" s="1">
        <v>52867</v>
      </c>
    </row>
    <row r="4" spans="1:4">
      <c r="A4" s="1" t="s">
        <v>20</v>
      </c>
      <c r="B4" s="1">
        <v>12548</v>
      </c>
      <c r="C4" s="1">
        <v>11732</v>
      </c>
      <c r="D4" s="1">
        <v>9946</v>
      </c>
    </row>
    <row r="5" spans="1:4">
      <c r="A5" s="1" t="s">
        <v>21</v>
      </c>
      <c r="B5" s="1">
        <v>25090</v>
      </c>
      <c r="C5" s="1">
        <v>28366</v>
      </c>
      <c r="D5" s="1">
        <v>29748</v>
      </c>
    </row>
    <row r="6" spans="1:4">
      <c r="A6" s="1" t="s">
        <v>22</v>
      </c>
      <c r="B6" s="1">
        <v>26278</v>
      </c>
      <c r="C6" s="1">
        <v>27724</v>
      </c>
      <c r="D6" s="1">
        <v>30117</v>
      </c>
    </row>
    <row r="7" spans="1:4">
      <c r="A7" s="1" t="s">
        <v>23</v>
      </c>
      <c r="B7" s="1">
        <v>76078</v>
      </c>
      <c r="C7" s="1">
        <v>84604</v>
      </c>
      <c r="D7" s="1">
        <v>94827</v>
      </c>
    </row>
    <row r="8" spans="1:4">
      <c r="A8" s="1" t="s">
        <v>24</v>
      </c>
      <c r="B8" s="1">
        <v>37416</v>
      </c>
      <c r="C8" s="1">
        <v>41538</v>
      </c>
      <c r="D8" s="1">
        <v>44541</v>
      </c>
    </row>
    <row r="9" spans="1:4">
      <c r="A9" s="1" t="s">
        <v>25</v>
      </c>
      <c r="B9" s="1">
        <v>6368</v>
      </c>
      <c r="C9" s="1">
        <v>5993</v>
      </c>
      <c r="D9" s="1">
        <v>6993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974E-D834-4148-BA88-368BD7DA1983}">
  <dimension ref="A1:D5"/>
  <sheetViews>
    <sheetView workbookViewId="0">
      <selection activeCell="H7" sqref="H7"/>
    </sheetView>
  </sheetViews>
  <sheetFormatPr defaultRowHeight="15"/>
  <cols>
    <col min="1" max="1" width="31.7109375" bestFit="1" customWidth="1"/>
    <col min="2" max="4" width="9.7109375" bestFit="1" customWidth="1"/>
  </cols>
  <sheetData>
    <row r="1" spans="1:4">
      <c r="A1" s="2" t="s">
        <v>8</v>
      </c>
      <c r="B1" s="2" t="s">
        <v>5</v>
      </c>
      <c r="C1" s="2" t="s">
        <v>6</v>
      </c>
      <c r="D1" s="2" t="s">
        <v>7</v>
      </c>
    </row>
    <row r="2" spans="1:4">
      <c r="A2" s="1" t="s">
        <v>26</v>
      </c>
      <c r="B2" s="1">
        <v>9831</v>
      </c>
      <c r="C2" s="1">
        <v>13841</v>
      </c>
      <c r="D2" s="1">
        <v>10984</v>
      </c>
    </row>
    <row r="3" spans="1:4">
      <c r="A3" s="1" t="s">
        <v>27</v>
      </c>
      <c r="B3" s="1">
        <v>6229</v>
      </c>
      <c r="C3" s="1">
        <v>6779</v>
      </c>
      <c r="D3" s="1">
        <v>7365</v>
      </c>
    </row>
    <row r="4" spans="1:4">
      <c r="A4" s="1" t="s">
        <v>28</v>
      </c>
      <c r="B4" s="1">
        <v>2855</v>
      </c>
      <c r="C4" s="1">
        <v>4012</v>
      </c>
      <c r="D4" s="1">
        <v>4298</v>
      </c>
    </row>
    <row r="5" spans="1:4">
      <c r="A5" s="1" t="s">
        <v>29</v>
      </c>
      <c r="B5" s="1">
        <v>747</v>
      </c>
      <c r="C5" s="1">
        <v>3050</v>
      </c>
      <c r="D5" s="1">
        <v>679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F9F4D-B2FD-4449-89EE-074ED131634E}">
  <dimension ref="A1:D14"/>
  <sheetViews>
    <sheetView workbookViewId="0">
      <selection activeCell="K14" sqref="K14"/>
    </sheetView>
  </sheetViews>
  <sheetFormatPr defaultRowHeight="15"/>
  <cols>
    <col min="1" max="1" width="18.42578125" bestFit="1" customWidth="1"/>
    <col min="2" max="4" width="9.7109375" bestFit="1" customWidth="1"/>
  </cols>
  <sheetData>
    <row r="1" spans="1:4">
      <c r="A1" s="2" t="s">
        <v>8</v>
      </c>
      <c r="B1" s="2" t="s">
        <v>5</v>
      </c>
      <c r="C1" s="2" t="s">
        <v>6</v>
      </c>
      <c r="D1" s="2" t="s">
        <v>7</v>
      </c>
    </row>
    <row r="2" spans="1:4">
      <c r="A2" s="1" t="s">
        <v>9</v>
      </c>
      <c r="B2" s="1">
        <f>'01_Raw_IS'!B2</f>
        <v>219530</v>
      </c>
      <c r="C2" s="1">
        <f>'01_Raw_IS'!C2</f>
        <v>246082</v>
      </c>
      <c r="D2" s="1">
        <f>'01_Raw_IS'!D2</f>
        <v>256682</v>
      </c>
    </row>
    <row r="3" spans="1:4">
      <c r="A3" s="1" t="s">
        <v>10</v>
      </c>
      <c r="B3" s="1">
        <f>'01_Raw_IS'!B3</f>
        <v>214956</v>
      </c>
      <c r="C3" s="1">
        <f>'01_Raw_IS'!C3</f>
        <v>240718</v>
      </c>
      <c r="D3" s="1">
        <f>'01_Raw_IS'!D3</f>
        <v>252701</v>
      </c>
    </row>
    <row r="4" spans="1:4">
      <c r="A4" s="1" t="s">
        <v>11</v>
      </c>
      <c r="B4" s="1">
        <f>'01_Raw_IS'!B4</f>
        <v>163250</v>
      </c>
      <c r="C4" s="1">
        <f>'01_Raw_IS'!C4</f>
        <v>182968</v>
      </c>
      <c r="D4" s="1">
        <f>'01_Raw_IS'!D4</f>
        <v>191259</v>
      </c>
    </row>
    <row r="5" spans="1:4">
      <c r="A5" s="1" t="s">
        <v>12</v>
      </c>
      <c r="B5" s="1">
        <f>B3-B4</f>
        <v>51706</v>
      </c>
      <c r="C5" s="1">
        <f>C3-C4</f>
        <v>57750</v>
      </c>
      <c r="D5" s="1">
        <f>D3-D4</f>
        <v>61442</v>
      </c>
    </row>
    <row r="6" spans="1:4">
      <c r="A6" s="1" t="s">
        <v>30</v>
      </c>
      <c r="B6" s="3">
        <f>B5/B3</f>
        <v>0.24054225050708053</v>
      </c>
      <c r="C6" s="3">
        <f>C5/C3</f>
        <v>0.23990727739512624</v>
      </c>
      <c r="D6" s="3">
        <f>D5/D3</f>
        <v>0.24314110351759588</v>
      </c>
    </row>
    <row r="7" spans="1:4">
      <c r="A7" s="1" t="s">
        <v>13</v>
      </c>
      <c r="B7" s="1">
        <f>'01_Raw_IS'!B6</f>
        <v>12344</v>
      </c>
      <c r="C7" s="1">
        <f>'01_Raw_IS'!C6</f>
        <v>13156</v>
      </c>
      <c r="D7" s="1">
        <f>'01_Raw_IS'!D6</f>
        <v>14943</v>
      </c>
    </row>
    <row r="8" spans="1:4">
      <c r="A8" s="1" t="s">
        <v>31</v>
      </c>
      <c r="B8" s="3">
        <f>B7/B2</f>
        <v>5.6229216963512962E-2</v>
      </c>
      <c r="C8" s="3">
        <f>C7/C2</f>
        <v>5.3461854178688407E-2</v>
      </c>
      <c r="D8" s="3">
        <f>D7/D2</f>
        <v>5.8216002680359355E-2</v>
      </c>
    </row>
    <row r="9" spans="1:4">
      <c r="A9" s="1" t="s">
        <v>32</v>
      </c>
      <c r="B9" s="1">
        <f>'01_Raw_IS'!B7</f>
        <v>3665</v>
      </c>
      <c r="C9" s="1">
        <f>'01_Raw_IS'!C7</f>
        <v>4306</v>
      </c>
      <c r="D9" s="1">
        <f>'01_Raw_IS'!D7</f>
        <v>5115</v>
      </c>
    </row>
    <row r="10" spans="1:4">
      <c r="A10" s="1" t="s">
        <v>33</v>
      </c>
      <c r="B10" s="1">
        <v>453</v>
      </c>
      <c r="C10" s="1">
        <v>529</v>
      </c>
      <c r="D10" s="1">
        <v>357</v>
      </c>
    </row>
    <row r="11" spans="1:4">
      <c r="A11" s="1" t="s">
        <v>15</v>
      </c>
      <c r="B11" s="1">
        <f>B7-(B9-B10)</f>
        <v>9132</v>
      </c>
      <c r="C11" s="1">
        <f>C7-(C9-C10)</f>
        <v>9379</v>
      </c>
      <c r="D11" s="1">
        <f>D7-(D9-D10)</f>
        <v>10185</v>
      </c>
    </row>
    <row r="12" spans="1:4">
      <c r="A12" s="1" t="s">
        <v>16</v>
      </c>
      <c r="B12" s="1">
        <f>'01_Raw_IS'!B9</f>
        <v>2812</v>
      </c>
      <c r="C12" s="1">
        <f>'01_Raw_IS'!C9</f>
        <v>2836</v>
      </c>
      <c r="D12" s="1">
        <f>'01_Raw_IS'!D9</f>
        <v>2793</v>
      </c>
    </row>
    <row r="13" spans="1:4">
      <c r="A13" s="1" t="s">
        <v>17</v>
      </c>
      <c r="B13" s="1">
        <f>B11-B12</f>
        <v>6320</v>
      </c>
      <c r="C13" s="1">
        <f>C11-C12</f>
        <v>6543</v>
      </c>
      <c r="D13" s="1">
        <f>D11-D12</f>
        <v>7392</v>
      </c>
    </row>
    <row r="14" spans="1:4">
      <c r="A14" s="1" t="s">
        <v>34</v>
      </c>
      <c r="B14" s="3">
        <f>B13/B2</f>
        <v>2.8788776021500477E-2</v>
      </c>
      <c r="C14" s="3">
        <f>C13/C2</f>
        <v>2.6588698076251006E-2</v>
      </c>
      <c r="D14" s="3">
        <f>D13/D2</f>
        <v>2.8798279583297622E-2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8746-8BDF-4079-8200-C2A8AD8D58BB}">
  <dimension ref="A1:D35"/>
  <sheetViews>
    <sheetView workbookViewId="0">
      <selection activeCell="H1" sqref="H1"/>
    </sheetView>
  </sheetViews>
  <sheetFormatPr defaultRowHeight="15"/>
  <cols>
    <col min="1" max="1" width="27.7109375" bestFit="1" customWidth="1"/>
    <col min="2" max="4" width="9.7109375" bestFit="1" customWidth="1"/>
  </cols>
  <sheetData>
    <row r="1" spans="1:4">
      <c r="A1" s="1" t="s">
        <v>8</v>
      </c>
      <c r="B1" s="1" t="s">
        <v>5</v>
      </c>
      <c r="C1" s="1" t="s">
        <v>6</v>
      </c>
      <c r="D1" s="1" t="s">
        <v>7</v>
      </c>
    </row>
    <row r="2" spans="1:4">
      <c r="A2" s="1" t="s">
        <v>19</v>
      </c>
      <c r="B2" s="1"/>
      <c r="C2" s="1"/>
      <c r="D2" s="1"/>
    </row>
    <row r="3" spans="1:4">
      <c r="A3" s="1" t="s">
        <v>20</v>
      </c>
      <c r="B3" s="1">
        <f>'02_Raw_BS'!B4</f>
        <v>12548</v>
      </c>
      <c r="C3" s="1">
        <f>'02_Raw_BS'!C4</f>
        <v>11732</v>
      </c>
      <c r="D3" s="1">
        <f>'02_Raw_BS'!D4</f>
        <v>9946</v>
      </c>
    </row>
    <row r="4" spans="1:4">
      <c r="A4" s="1" t="s">
        <v>35</v>
      </c>
      <c r="B4" s="1"/>
      <c r="C4" s="1"/>
      <c r="D4" s="1"/>
    </row>
    <row r="5" spans="1:4">
      <c r="A5" s="1" t="s">
        <v>36</v>
      </c>
      <c r="B5" s="1">
        <f>'02_Raw_BS'!B5</f>
        <v>25090</v>
      </c>
      <c r="C5" s="1">
        <f>'02_Raw_BS'!C5</f>
        <v>28366</v>
      </c>
      <c r="D5" s="1">
        <f>'02_Raw_BS'!D5</f>
        <v>29748</v>
      </c>
    </row>
    <row r="6" spans="1:4">
      <c r="A6" s="1" t="s">
        <v>37</v>
      </c>
      <c r="B6" s="1"/>
      <c r="C6" s="1"/>
      <c r="D6" s="1"/>
    </row>
    <row r="7" spans="1:4">
      <c r="A7" s="1" t="s">
        <v>38</v>
      </c>
      <c r="B7" s="1">
        <f>'02_Raw_BS'!B3</f>
        <v>47871</v>
      </c>
      <c r="C7" s="1">
        <f>'02_Raw_BS'!C3</f>
        <v>50059</v>
      </c>
      <c r="D7" s="1">
        <f>'02_Raw_BS'!D3</f>
        <v>52867</v>
      </c>
    </row>
    <row r="8" spans="1:4">
      <c r="A8" s="1" t="s">
        <v>39</v>
      </c>
      <c r="B8" s="1"/>
      <c r="C8" s="1"/>
      <c r="D8" s="1"/>
    </row>
    <row r="9" spans="1:4">
      <c r="A9" s="1" t="s">
        <v>40</v>
      </c>
      <c r="B9" s="1"/>
      <c r="C9" s="1"/>
      <c r="D9" s="1"/>
    </row>
    <row r="10" spans="1:4">
      <c r="A10" s="1" t="s">
        <v>41</v>
      </c>
      <c r="B10" s="1"/>
      <c r="C10" s="1"/>
      <c r="D10" s="1"/>
    </row>
    <row r="11" spans="1:4">
      <c r="A11" s="1" t="s">
        <v>42</v>
      </c>
      <c r="B11" s="1"/>
      <c r="C11" s="1"/>
      <c r="D11" s="1"/>
    </row>
    <row r="12" spans="1:4">
      <c r="A12" s="1" t="s">
        <v>43</v>
      </c>
      <c r="B12" s="1"/>
      <c r="C12" s="1"/>
      <c r="D12" s="1"/>
    </row>
    <row r="13" spans="1:4">
      <c r="A13" s="1" t="s">
        <v>44</v>
      </c>
      <c r="B13" s="1"/>
      <c r="C13" s="1"/>
      <c r="D13" s="1"/>
    </row>
    <row r="14" spans="1:4">
      <c r="A14" s="1" t="s">
        <v>45</v>
      </c>
      <c r="B14" s="1">
        <f>'02_Raw_BS'!B2-B7</f>
        <v>54485</v>
      </c>
      <c r="C14" s="1">
        <f>'02_Raw_BS'!C2 - C7</f>
        <v>62269</v>
      </c>
      <c r="D14" s="1">
        <f>'02_Raw_BS'!D2 - D7</f>
        <v>72077</v>
      </c>
    </row>
    <row r="15" spans="1:4">
      <c r="A15" s="1" t="s">
        <v>18</v>
      </c>
      <c r="B15" s="1">
        <f>'02_Raw_BS'!B2</f>
        <v>102356</v>
      </c>
      <c r="C15" s="1">
        <f>'02_Raw_BS'!C2</f>
        <v>112328</v>
      </c>
      <c r="D15" s="1">
        <f>'02_Raw_BS'!D2</f>
        <v>124944</v>
      </c>
    </row>
    <row r="16" spans="1:4">
      <c r="A16" s="1" t="s">
        <v>46</v>
      </c>
      <c r="B16" s="1"/>
      <c r="C16" s="1"/>
      <c r="D16" s="1"/>
    </row>
    <row r="17" spans="1:4">
      <c r="A17" s="1" t="s">
        <v>47</v>
      </c>
      <c r="B17" s="1"/>
      <c r="C17" s="1"/>
      <c r="D17" s="1"/>
    </row>
    <row r="18" spans="1:4">
      <c r="A18" s="1" t="s">
        <v>48</v>
      </c>
      <c r="B18" s="1"/>
      <c r="C18" s="1"/>
      <c r="D18" s="1"/>
    </row>
    <row r="19" spans="1:4">
      <c r="A19" s="1" t="s">
        <v>49</v>
      </c>
      <c r="B19" s="1"/>
      <c r="C19" s="1"/>
      <c r="D19" s="1"/>
    </row>
    <row r="20" spans="1:4">
      <c r="A20" s="1" t="s">
        <v>22</v>
      </c>
      <c r="B20" s="1">
        <f>'02_Raw_BS'!B6</f>
        <v>26278</v>
      </c>
      <c r="C20" s="1">
        <f>'02_Raw_BS'!C6</f>
        <v>27724</v>
      </c>
      <c r="D20" s="1">
        <f>'02_Raw_BS'!D6</f>
        <v>30117</v>
      </c>
    </row>
    <row r="21" spans="1:4">
      <c r="A21" s="1" t="s">
        <v>24</v>
      </c>
      <c r="B21" s="1"/>
      <c r="C21" s="1"/>
      <c r="D21" s="1"/>
    </row>
    <row r="22" spans="1:4">
      <c r="A22" s="1" t="s">
        <v>50</v>
      </c>
      <c r="B22" s="1"/>
      <c r="C22" s="1"/>
      <c r="D22" s="1"/>
    </row>
    <row r="23" spans="1:4">
      <c r="A23" s="1" t="s">
        <v>51</v>
      </c>
      <c r="B23" s="1"/>
      <c r="C23" s="1"/>
      <c r="D23" s="1"/>
    </row>
    <row r="24" spans="1:4">
      <c r="A24" s="1" t="s">
        <v>52</v>
      </c>
      <c r="B24" s="1"/>
      <c r="C24" s="1"/>
      <c r="D24" s="1"/>
    </row>
    <row r="25" spans="1:4">
      <c r="A25" s="1" t="s">
        <v>53</v>
      </c>
      <c r="B25" s="1"/>
      <c r="C25" s="1"/>
      <c r="D25" s="1"/>
    </row>
    <row r="26" spans="1:4">
      <c r="A26" s="1" t="s">
        <v>54</v>
      </c>
      <c r="B26" s="1"/>
      <c r="C26" s="1"/>
      <c r="D26" s="1"/>
    </row>
    <row r="27" spans="1:4">
      <c r="A27" s="1" t="s">
        <v>55</v>
      </c>
      <c r="B27" s="1">
        <f>'02_Raw_BS'!B8</f>
        <v>37416</v>
      </c>
      <c r="C27" s="1">
        <f>'02_Raw_BS'!C8</f>
        <v>41538</v>
      </c>
      <c r="D27" s="1">
        <f>'02_Raw_BS'!D8</f>
        <v>44541</v>
      </c>
    </row>
    <row r="28" spans="1:4">
      <c r="A28" s="1" t="s">
        <v>56</v>
      </c>
      <c r="B28" s="1"/>
      <c r="C28" s="1"/>
      <c r="D28" s="1"/>
    </row>
    <row r="29" spans="1:4">
      <c r="A29" s="1" t="s">
        <v>57</v>
      </c>
      <c r="B29" s="1"/>
      <c r="C29" s="1"/>
      <c r="D29" s="1"/>
    </row>
    <row r="30" spans="1:4">
      <c r="A30" s="1" t="s">
        <v>58</v>
      </c>
      <c r="B30" s="1"/>
      <c r="C30" s="1"/>
      <c r="D30" s="1"/>
    </row>
    <row r="31" spans="1:4">
      <c r="A31" s="1" t="s">
        <v>59</v>
      </c>
      <c r="B31" s="1"/>
      <c r="C31" s="1"/>
      <c r="D31" s="1"/>
    </row>
    <row r="32" spans="1:4">
      <c r="A32" s="1" t="s">
        <v>60</v>
      </c>
      <c r="B32" s="1"/>
      <c r="C32" s="1"/>
      <c r="D32" s="1"/>
    </row>
    <row r="33" spans="1:4">
      <c r="A33" s="1" t="s">
        <v>61</v>
      </c>
      <c r="B33" s="1">
        <f>'02_Raw_BS'!B7 - B27</f>
        <v>38662</v>
      </c>
      <c r="C33" s="1">
        <f>'02_Raw_BS'!C7 - C27</f>
        <v>43066</v>
      </c>
      <c r="D33" s="1">
        <f>'02_Raw_BS'!D7 - D27</f>
        <v>50286</v>
      </c>
    </row>
    <row r="34" spans="1:4">
      <c r="A34" s="1" t="s">
        <v>23</v>
      </c>
      <c r="B34" s="1">
        <f>'02_Raw_BS'!B7</f>
        <v>76078</v>
      </c>
      <c r="C34" s="1">
        <f>'02_Raw_BS'!C7</f>
        <v>84604</v>
      </c>
      <c r="D34" s="1">
        <f>'02_Raw_BS'!D7</f>
        <v>94827</v>
      </c>
    </row>
    <row r="35" spans="1:4">
      <c r="A35" s="1" t="s">
        <v>62</v>
      </c>
      <c r="B35" s="1">
        <f>B20 + B34</f>
        <v>102356</v>
      </c>
      <c r="C35" s="1">
        <f>C20 + C34</f>
        <v>112328</v>
      </c>
      <c r="D35" s="1">
        <f>D20 + D34</f>
        <v>124944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09CF-6863-4071-9D8C-7446BE903BD2}">
  <dimension ref="A1:D20"/>
  <sheetViews>
    <sheetView workbookViewId="0">
      <selection activeCell="H1" sqref="H1"/>
    </sheetView>
  </sheetViews>
  <sheetFormatPr defaultRowHeight="15"/>
  <cols>
    <col min="1" max="1" width="36.5703125" bestFit="1" customWidth="1"/>
    <col min="2" max="4" width="9.7109375" bestFit="1" customWidth="1"/>
  </cols>
  <sheetData>
    <row r="1" spans="1:4">
      <c r="A1" s="1" t="s">
        <v>8</v>
      </c>
      <c r="B1" s="1" t="s">
        <v>5</v>
      </c>
      <c r="C1" s="1" t="s">
        <v>6</v>
      </c>
      <c r="D1" s="1" t="s">
        <v>7</v>
      </c>
    </row>
    <row r="2" spans="1:4">
      <c r="A2" s="1" t="s">
        <v>63</v>
      </c>
      <c r="B2" s="1"/>
      <c r="C2" s="1"/>
      <c r="D2" s="1"/>
    </row>
    <row r="3" spans="1:4">
      <c r="A3" s="1" t="s">
        <v>64</v>
      </c>
      <c r="B3" s="1"/>
      <c r="C3" s="1"/>
      <c r="D3" s="1"/>
    </row>
    <row r="4" spans="1:4">
      <c r="A4" s="1" t="s">
        <v>65</v>
      </c>
      <c r="B4" s="1"/>
      <c r="C4" s="1"/>
      <c r="D4" s="1"/>
    </row>
    <row r="5" spans="1:4" ht="29.25">
      <c r="A5" s="4" t="s">
        <v>66</v>
      </c>
      <c r="B5" s="1"/>
      <c r="C5" s="1"/>
      <c r="D5" s="1"/>
    </row>
    <row r="6" spans="1:4">
      <c r="A6" s="1" t="s">
        <v>67</v>
      </c>
      <c r="B6" s="1"/>
      <c r="C6" s="1"/>
      <c r="D6" s="1"/>
    </row>
    <row r="7" spans="1:4">
      <c r="A7" s="1" t="s">
        <v>26</v>
      </c>
      <c r="B7" s="1">
        <f>'03_Raw_CF'!B2</f>
        <v>9831</v>
      </c>
      <c r="C7" s="1">
        <f>'03_Raw_CF'!C2</f>
        <v>13841</v>
      </c>
      <c r="D7" s="1">
        <f>'03_Raw_CF'!D2</f>
        <v>10984</v>
      </c>
    </row>
    <row r="8" spans="1:4">
      <c r="A8" s="1" t="s">
        <v>68</v>
      </c>
      <c r="B8" s="1"/>
      <c r="C8" s="1"/>
      <c r="D8" s="1"/>
    </row>
    <row r="9" spans="1:4">
      <c r="A9" s="1" t="s">
        <v>69</v>
      </c>
      <c r="B9" s="1"/>
      <c r="C9" s="1"/>
      <c r="D9" s="1"/>
    </row>
    <row r="10" spans="1:4">
      <c r="A10" s="1" t="s">
        <v>70</v>
      </c>
      <c r="B10" s="1"/>
      <c r="C10" s="1"/>
      <c r="D10" s="1"/>
    </row>
    <row r="11" spans="1:4">
      <c r="A11" s="1" t="s">
        <v>27</v>
      </c>
      <c r="B11" s="1">
        <f>'03_Raw_CF'!B3</f>
        <v>6229</v>
      </c>
      <c r="C11" s="1">
        <f>'03_Raw_CF'!C3</f>
        <v>6779</v>
      </c>
      <c r="D11" s="1">
        <f>'03_Raw_CF'!D3</f>
        <v>7365</v>
      </c>
    </row>
    <row r="12" spans="1:4">
      <c r="A12" s="1" t="s">
        <v>71</v>
      </c>
      <c r="B12" s="1"/>
      <c r="C12" s="1"/>
      <c r="D12" s="1"/>
    </row>
    <row r="13" spans="1:4">
      <c r="A13" s="1" t="s">
        <v>72</v>
      </c>
      <c r="B13" s="1"/>
      <c r="C13" s="1"/>
      <c r="D13" s="1"/>
    </row>
    <row r="14" spans="1:4">
      <c r="A14" s="1" t="s">
        <v>73</v>
      </c>
      <c r="B14" s="1"/>
      <c r="C14" s="1"/>
      <c r="D14" s="1"/>
    </row>
    <row r="15" spans="1:4">
      <c r="A15" s="1" t="s">
        <v>74</v>
      </c>
      <c r="B15" s="1"/>
      <c r="C15" s="1"/>
      <c r="D15" s="1"/>
    </row>
    <row r="16" spans="1:4">
      <c r="A16" s="1" t="s">
        <v>75</v>
      </c>
      <c r="B16" s="1"/>
      <c r="C16" s="1"/>
      <c r="D16" s="1"/>
    </row>
    <row r="17" spans="1:4">
      <c r="A17" s="1" t="s">
        <v>28</v>
      </c>
      <c r="B17" s="1">
        <f>'03_Raw_CF'!B4</f>
        <v>2855</v>
      </c>
      <c r="C17" s="1">
        <f>'03_Raw_CF'!C4</f>
        <v>4012</v>
      </c>
      <c r="D17" s="1">
        <f>'03_Raw_CF'!D4</f>
        <v>4298</v>
      </c>
    </row>
    <row r="18" spans="1:4">
      <c r="A18" s="1" t="s">
        <v>76</v>
      </c>
      <c r="B18" s="1">
        <f>'03_Raw_CF'!B5</f>
        <v>747</v>
      </c>
      <c r="C18" s="1">
        <f>'03_Raw_CF'!C5</f>
        <v>3050</v>
      </c>
      <c r="D18" s="1">
        <f>'03_Raw_CF'!D5</f>
        <v>679</v>
      </c>
    </row>
    <row r="19" spans="1:4">
      <c r="A19" s="1" t="s">
        <v>77</v>
      </c>
      <c r="B19" s="1">
        <f>B20-B18</f>
        <v>11801</v>
      </c>
      <c r="C19" s="1">
        <f>C20-C18</f>
        <v>8682</v>
      </c>
      <c r="D19" s="1">
        <f>D20-D18</f>
        <v>9267</v>
      </c>
    </row>
    <row r="20" spans="1:4">
      <c r="A20" s="1" t="s">
        <v>78</v>
      </c>
      <c r="B20" s="1">
        <f>'02_Raw_BS'!B4</f>
        <v>12548</v>
      </c>
      <c r="C20" s="1">
        <f>'02_Raw_BS'!C4</f>
        <v>11732</v>
      </c>
      <c r="D20" s="1">
        <f>'02_Raw_BS'!D4</f>
        <v>9946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D13B-0BBA-4895-81EE-91F648B65D16}">
  <dimension ref="A1:D16"/>
  <sheetViews>
    <sheetView workbookViewId="0">
      <selection activeCell="J1" sqref="J1"/>
    </sheetView>
  </sheetViews>
  <sheetFormatPr defaultRowHeight="15"/>
  <cols>
    <col min="1" max="1" width="25.5703125" bestFit="1" customWidth="1"/>
    <col min="2" max="4" width="9.7109375" bestFit="1" customWidth="1"/>
  </cols>
  <sheetData>
    <row r="1" spans="1:4">
      <c r="A1" s="1" t="s">
        <v>79</v>
      </c>
      <c r="B1" s="1" t="s">
        <v>5</v>
      </c>
      <c r="C1" s="1" t="s">
        <v>6</v>
      </c>
      <c r="D1" s="1" t="s">
        <v>7</v>
      </c>
    </row>
    <row r="2" spans="1:4">
      <c r="A2" s="1" t="s">
        <v>30</v>
      </c>
      <c r="B2" s="3">
        <f>'04_Clean_IS'!B6</f>
        <v>0.24054225050708053</v>
      </c>
      <c r="C2" s="3">
        <f>'04_Clean_IS'!C6</f>
        <v>0.23990727739512624</v>
      </c>
      <c r="D2" s="3">
        <f>'04_Clean_IS'!D6</f>
        <v>0.24314110351759588</v>
      </c>
    </row>
    <row r="3" spans="1:4">
      <c r="A3" s="1" t="s">
        <v>31</v>
      </c>
      <c r="B3" s="3">
        <f>'04_Clean_IS'!B8</f>
        <v>5.6229216963512962E-2</v>
      </c>
      <c r="C3" s="3">
        <f>'04_Clean_IS'!C8</f>
        <v>5.3461854178688407E-2</v>
      </c>
      <c r="D3" s="3">
        <f>'04_Clean_IS'!D8</f>
        <v>5.8216002680359355E-2</v>
      </c>
    </row>
    <row r="4" spans="1:4">
      <c r="A4" s="1" t="s">
        <v>34</v>
      </c>
      <c r="B4" s="3">
        <f>'04_Clean_IS'!B14</f>
        <v>2.8788776021500477E-2</v>
      </c>
      <c r="C4" s="3">
        <f>'04_Clean_IS'!C14</f>
        <v>2.6588698076251006E-2</v>
      </c>
      <c r="D4" s="3">
        <f>'04_Clean_IS'!D14</f>
        <v>2.8798279583297622E-2</v>
      </c>
    </row>
    <row r="5" spans="1:4">
      <c r="A5" s="1"/>
      <c r="B5" s="1"/>
      <c r="C5" s="1"/>
      <c r="D5" s="1"/>
    </row>
    <row r="6" spans="1:4">
      <c r="A6" s="1" t="s">
        <v>80</v>
      </c>
      <c r="B6" s="3">
        <f>'04_Clean_IS'!B13 / '05_Clean_BS'!B15</f>
        <v>6.1745281175505103E-2</v>
      </c>
      <c r="C6" s="3">
        <f>'04_Clean_IS'!C13 / '05_Clean_BS'!C15</f>
        <v>5.8249056335018874E-2</v>
      </c>
      <c r="D6" s="3">
        <f>'04_Clean_IS'!D13 / '05_Clean_BS'!D15</f>
        <v>5.9162504802151364E-2</v>
      </c>
    </row>
    <row r="7" spans="1:4">
      <c r="A7" s="1" t="s">
        <v>81</v>
      </c>
      <c r="B7" s="3">
        <f>'04_Clean_IS'!B13 / '05_Clean_BS'!B20</f>
        <v>0.2405053657051526</v>
      </c>
      <c r="C7" s="3">
        <f>'04_Clean_IS'!C13 / '05_Clean_BS'!C20</f>
        <v>0.23600490549704228</v>
      </c>
      <c r="D7" s="3">
        <f>'04_Clean_IS'!D13 / '05_Clean_BS'!D20</f>
        <v>0.24544277318458013</v>
      </c>
    </row>
    <row r="8" spans="1:4">
      <c r="A8" s="1"/>
      <c r="B8" s="1"/>
      <c r="C8" s="1"/>
      <c r="D8" s="1"/>
    </row>
    <row r="9" spans="1:4">
      <c r="A9" s="1" t="s">
        <v>82</v>
      </c>
      <c r="B9" s="5">
        <f>'05_Clean_BS'!B7 / '05_Clean_BS'!B27</f>
        <v>1.2794259140474664</v>
      </c>
      <c r="C9" s="5">
        <f>'05_Clean_BS'!C7 / '05_Clean_BS'!C27</f>
        <v>1.2051374644903461</v>
      </c>
      <c r="D9" s="5">
        <f>'05_Clean_BS'!D7 / '05_Clean_BS'!D27</f>
        <v>1.1869288969713299</v>
      </c>
    </row>
    <row r="10" spans="1:4">
      <c r="A10" s="1" t="s">
        <v>83</v>
      </c>
      <c r="B10" s="5">
        <f>'05_Clean_BS'!B3 / '05_Clean_BS'!B27</f>
        <v>0.33536454992516568</v>
      </c>
      <c r="C10" s="5">
        <f>'05_Clean_BS'!C3 / '05_Clean_BS'!C27</f>
        <v>0.28244017526120663</v>
      </c>
      <c r="D10" s="5">
        <f>'05_Clean_BS'!D3 / '05_Clean_BS'!D27</f>
        <v>0.223299881008509</v>
      </c>
    </row>
    <row r="11" spans="1:4">
      <c r="A11" s="1"/>
      <c r="B11" s="1"/>
      <c r="C11" s="1"/>
      <c r="D11" s="1"/>
    </row>
    <row r="12" spans="1:4">
      <c r="A12" s="1" t="s">
        <v>84</v>
      </c>
      <c r="B12" s="5">
        <f>'05_Clean_BS'!B34 / '05_Clean_BS'!B20</f>
        <v>2.8951213943222469</v>
      </c>
      <c r="C12" s="5">
        <f>'05_Clean_BS'!C34 / '05_Clean_BS'!C20</f>
        <v>3.0516519982686483</v>
      </c>
      <c r="D12" s="5">
        <f>'05_Clean_BS'!D34 / '05_Clean_BS'!D20</f>
        <v>3.1486203805159878</v>
      </c>
    </row>
    <row r="13" spans="1:4">
      <c r="A13" s="1" t="s">
        <v>85</v>
      </c>
      <c r="B13" s="5">
        <f>'05_Clean_BS'!B34 / '05_Clean_BS'!B15</f>
        <v>0.74326859197311346</v>
      </c>
      <c r="C13" s="5">
        <f>'05_Clean_BS'!C34 / '05_Clean_BS'!C15</f>
        <v>0.75318709493625813</v>
      </c>
      <c r="D13" s="5">
        <f>'05_Clean_BS'!D34 / '05_Clean_BS'!D15</f>
        <v>0.75895601229350751</v>
      </c>
    </row>
    <row r="14" spans="1:4">
      <c r="A14" s="1"/>
      <c r="B14" s="1"/>
      <c r="C14" s="1"/>
      <c r="D14" s="1"/>
    </row>
    <row r="15" spans="1:4">
      <c r="A15" s="1" t="s">
        <v>86</v>
      </c>
      <c r="B15" s="6">
        <f>'06_Clean_CF'!B7 / '04_Clean_IS'!B2</f>
        <v>4.478203434610304E-2</v>
      </c>
      <c r="C15" s="6">
        <f>'06_Clean_CF'!C7 / '04_Clean_IS'!C2</f>
        <v>5.6245479149226681E-2</v>
      </c>
      <c r="D15" s="6">
        <f>'06_Clean_CF'!D7 / '04_Clean_IS'!D2</f>
        <v>4.279224877474852E-2</v>
      </c>
    </row>
    <row r="16" spans="1:4">
      <c r="A16" s="1" t="s">
        <v>87</v>
      </c>
      <c r="B16" s="5">
        <f>'06_Clean_CF'!B7 / '04_Clean_IS'!B13</f>
        <v>1.5555379746835443</v>
      </c>
      <c r="C16" s="5">
        <f>'06_Clean_CF'!C7 / '04_Clean_IS'!C13</f>
        <v>2.1153904936573436</v>
      </c>
      <c r="D16" s="5">
        <f>'06_Clean_CF'!D7 / '04_Clean_IS'!D13</f>
        <v>1.4859307359307359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9550-47F5-48CE-AE6B-2443406CE593}">
  <dimension ref="A1:F22"/>
  <sheetViews>
    <sheetView workbookViewId="0">
      <selection activeCell="L13" sqref="L13"/>
    </sheetView>
  </sheetViews>
  <sheetFormatPr defaultRowHeight="15"/>
  <cols>
    <col min="1" max="1" width="24.85546875" bestFit="1" customWidth="1"/>
    <col min="2" max="4" width="9.7109375" bestFit="1" customWidth="1"/>
    <col min="5" max="6" width="16.42578125" bestFit="1" customWidth="1"/>
  </cols>
  <sheetData>
    <row r="1" spans="1:6">
      <c r="A1" s="1" t="s">
        <v>88</v>
      </c>
      <c r="B1" s="1" t="s">
        <v>5</v>
      </c>
      <c r="C1" s="1" t="s">
        <v>6</v>
      </c>
      <c r="D1" s="1" t="s">
        <v>7</v>
      </c>
      <c r="E1" s="1" t="s">
        <v>89</v>
      </c>
      <c r="F1" s="1" t="s">
        <v>90</v>
      </c>
    </row>
    <row r="2" spans="1:6">
      <c r="A2" s="1" t="s">
        <v>9</v>
      </c>
      <c r="B2" s="1">
        <f>'04_Clean_IS'!B2</f>
        <v>219530</v>
      </c>
      <c r="C2" s="1">
        <f>'04_Clean_IS'!C2</f>
        <v>246082</v>
      </c>
      <c r="D2" s="1">
        <f>'04_Clean_IS'!D2</f>
        <v>256682</v>
      </c>
      <c r="E2" s="3">
        <f>(C2/B2)-1</f>
        <v>0.12094930077893684</v>
      </c>
      <c r="F2" s="3">
        <f>(D2/C2)-1</f>
        <v>4.3075072536796766E-2</v>
      </c>
    </row>
    <row r="3" spans="1:6">
      <c r="A3" s="1" t="s">
        <v>12</v>
      </c>
      <c r="B3" s="1">
        <f>'04_Clean_IS'!B5</f>
        <v>51706</v>
      </c>
      <c r="C3" s="1">
        <f>'04_Clean_IS'!C5</f>
        <v>57750</v>
      </c>
      <c r="D3" s="1">
        <f>'04_Clean_IS'!D5</f>
        <v>61442</v>
      </c>
      <c r="E3" s="3">
        <f>(C3/B3)-1</f>
        <v>0.1168916566742737</v>
      </c>
      <c r="F3" s="3">
        <f>(D3/C3)-1</f>
        <v>6.3930735930735949E-2</v>
      </c>
    </row>
    <row r="4" spans="1:6">
      <c r="A4" s="1" t="s">
        <v>13</v>
      </c>
      <c r="B4" s="1">
        <f>'04_Clean_IS'!B7</f>
        <v>12344</v>
      </c>
      <c r="C4" s="1">
        <f>'04_Clean_IS'!C7</f>
        <v>13156</v>
      </c>
      <c r="D4" s="1">
        <f>'04_Clean_IS'!D7</f>
        <v>14943</v>
      </c>
      <c r="E4" s="3">
        <f>(C4/B4)-1</f>
        <v>6.5780946208684465E-2</v>
      </c>
      <c r="F4" s="3">
        <f>(D4/C4)-1</f>
        <v>0.13583155974460315</v>
      </c>
    </row>
    <row r="5" spans="1:6">
      <c r="A5" s="1" t="s">
        <v>17</v>
      </c>
      <c r="B5" s="1">
        <f>'04_Clean_IS'!B13</f>
        <v>6320</v>
      </c>
      <c r="C5" s="1">
        <f>'04_Clean_IS'!C13</f>
        <v>6543</v>
      </c>
      <c r="D5" s="1">
        <f>'04_Clean_IS'!D13</f>
        <v>7392</v>
      </c>
      <c r="E5" s="3">
        <f>(C5/B5)-1</f>
        <v>3.5284810126582355E-2</v>
      </c>
      <c r="F5" s="3">
        <f>(D5/C5)-1</f>
        <v>0.12975699220541026</v>
      </c>
    </row>
    <row r="6" spans="1:6">
      <c r="A6" s="1" t="s">
        <v>30</v>
      </c>
      <c r="B6" s="3">
        <f>'04_Clean_IS'!B6</f>
        <v>0.24054225050708053</v>
      </c>
      <c r="C6" s="3">
        <f>'04_Clean_IS'!C6</f>
        <v>0.23990727739512624</v>
      </c>
      <c r="D6" s="3">
        <f>'04_Clean_IS'!D6</f>
        <v>0.24314110351759588</v>
      </c>
      <c r="E6" s="3">
        <f>(C6/B6)-1</f>
        <v>-2.639757093050088E-3</v>
      </c>
      <c r="F6" s="3">
        <f>(D6/C6)-1</f>
        <v>1.3479483230279588E-2</v>
      </c>
    </row>
    <row r="7" spans="1:6">
      <c r="A7" s="1" t="s">
        <v>31</v>
      </c>
      <c r="B7" s="3">
        <f>'04_Clean_IS'!B8</f>
        <v>5.6229216963512962E-2</v>
      </c>
      <c r="C7" s="3">
        <f>'04_Clean_IS'!C8</f>
        <v>5.3461854178688407E-2</v>
      </c>
      <c r="D7" s="3">
        <f>'04_Clean_IS'!D8</f>
        <v>5.8216002680359355E-2</v>
      </c>
      <c r="E7" s="3">
        <f>(C7/B7)-1</f>
        <v>-4.9215744665629835E-2</v>
      </c>
      <c r="F7" s="3">
        <f>(D7/C7)-1</f>
        <v>8.8925993583778506E-2</v>
      </c>
    </row>
    <row r="8" spans="1:6">
      <c r="A8" s="1" t="s">
        <v>34</v>
      </c>
      <c r="B8" s="3">
        <f>'04_Clean_IS'!B14</f>
        <v>2.8788776021500477E-2</v>
      </c>
      <c r="C8" s="3">
        <f>'04_Clean_IS'!C14</f>
        <v>2.6588698076251006E-2</v>
      </c>
      <c r="D8" s="3">
        <f>'04_Clean_IS'!D14</f>
        <v>2.8798279583297622E-2</v>
      </c>
      <c r="E8" s="3">
        <f>(C8/B8)-1</f>
        <v>-7.6421378373515259E-2</v>
      </c>
      <c r="F8" s="3">
        <f>(D8/C8)-1</f>
        <v>8.3102282808657391E-2</v>
      </c>
    </row>
    <row r="9" spans="1:6">
      <c r="A9" s="1"/>
      <c r="B9" s="1"/>
      <c r="C9" s="1"/>
      <c r="D9" s="1"/>
      <c r="E9" s="1"/>
      <c r="F9" s="1"/>
    </row>
    <row r="10" spans="1:6">
      <c r="A10" s="1" t="s">
        <v>18</v>
      </c>
      <c r="B10" s="1">
        <f>'05_Clean_BS'!B15</f>
        <v>102356</v>
      </c>
      <c r="C10" s="1">
        <f>'05_Clean_BS'!C15</f>
        <v>112328</v>
      </c>
      <c r="D10" s="1">
        <f>'05_Clean_BS'!D15</f>
        <v>124944</v>
      </c>
      <c r="E10" s="3">
        <f>(C10/B10)-1</f>
        <v>9.7424674664895017E-2</v>
      </c>
      <c r="F10" s="3">
        <f>(D10/C10)-1</f>
        <v>0.11231393775372123</v>
      </c>
    </row>
    <row r="11" spans="1:6">
      <c r="A11" s="1" t="s">
        <v>22</v>
      </c>
      <c r="B11" s="1">
        <f>'05_Clean_BS'!B20</f>
        <v>26278</v>
      </c>
      <c r="C11" s="1">
        <f>'05_Clean_BS'!C20</f>
        <v>27724</v>
      </c>
      <c r="D11" s="1">
        <f>'05_Clean_BS'!D20</f>
        <v>30117</v>
      </c>
      <c r="E11" s="3">
        <f>(C11/B11)-1</f>
        <v>5.5027018798995408E-2</v>
      </c>
      <c r="F11" s="3">
        <f>(D11/C11)-1</f>
        <v>8.6315106045303791E-2</v>
      </c>
    </row>
    <row r="12" spans="1:6">
      <c r="A12" s="1" t="s">
        <v>23</v>
      </c>
      <c r="B12" s="1">
        <f>'05_Clean_BS'!B34</f>
        <v>76078</v>
      </c>
      <c r="C12" s="1">
        <f>'05_Clean_BS'!C34</f>
        <v>84604</v>
      </c>
      <c r="D12" s="1">
        <f>'05_Clean_BS'!D34</f>
        <v>94827</v>
      </c>
      <c r="E12" s="3">
        <f>(C12/B12)-1</f>
        <v>0.11206919214490396</v>
      </c>
      <c r="F12" s="3">
        <f>(D12/C12)-1</f>
        <v>0.12083353032953514</v>
      </c>
    </row>
    <row r="13" spans="1:6">
      <c r="A13" s="1"/>
      <c r="B13" s="1"/>
      <c r="C13" s="1"/>
      <c r="D13" s="1"/>
      <c r="E13" s="1"/>
      <c r="F13" s="1"/>
    </row>
    <row r="14" spans="1:6">
      <c r="A14" s="1" t="s">
        <v>91</v>
      </c>
      <c r="B14" s="1">
        <f>'06_Clean_CF'!B7</f>
        <v>9831</v>
      </c>
      <c r="C14" s="1">
        <f>'06_Clean_CF'!C7</f>
        <v>13841</v>
      </c>
      <c r="D14" s="1">
        <f>'06_Clean_CF'!D7</f>
        <v>10984</v>
      </c>
      <c r="E14" s="3">
        <f>(C14/B14)-1</f>
        <v>0.40789339843352668</v>
      </c>
      <c r="F14" s="3">
        <f>(D14/C14)-1</f>
        <v>-0.20641572140741271</v>
      </c>
    </row>
    <row r="15" spans="1:6">
      <c r="A15" s="1" t="s">
        <v>69</v>
      </c>
      <c r="B15" s="1"/>
      <c r="C15" s="1"/>
      <c r="D15" s="1"/>
      <c r="E15" s="1"/>
      <c r="F15" s="1"/>
    </row>
    <row r="16" spans="1:6">
      <c r="A16" s="1" t="s">
        <v>92</v>
      </c>
      <c r="B16" s="1">
        <f>B14-B15</f>
        <v>9831</v>
      </c>
      <c r="C16" s="1">
        <f>C14-C15</f>
        <v>13841</v>
      </c>
      <c r="D16" s="1">
        <f>D14-D15</f>
        <v>10984</v>
      </c>
      <c r="E16" s="3">
        <f>(C16/B16)-1</f>
        <v>0.40789339843352668</v>
      </c>
      <c r="F16" s="3">
        <f>(D16/C16)-1</f>
        <v>-0.20641572140741271</v>
      </c>
    </row>
    <row r="17" spans="1:6">
      <c r="A17" s="1"/>
      <c r="B17" s="1"/>
      <c r="C17" s="1"/>
      <c r="D17" s="1"/>
      <c r="E17" s="1"/>
      <c r="F17" s="1"/>
    </row>
    <row r="18" spans="1:6">
      <c r="A18" s="1" t="s">
        <v>93</v>
      </c>
      <c r="B18" s="3">
        <f>'07_Ratios'!B6</f>
        <v>6.1745281175505103E-2</v>
      </c>
      <c r="C18" s="3">
        <f>'07_Ratios'!C6</f>
        <v>5.8249056335018874E-2</v>
      </c>
      <c r="D18" s="3">
        <f>'07_Ratios'!D6</f>
        <v>5.9162504802151364E-2</v>
      </c>
      <c r="E18" s="3">
        <f>(C18/B18)-1</f>
        <v>-5.6623352812153249E-2</v>
      </c>
      <c r="F18" s="3">
        <f>(D18/C18)-1</f>
        <v>1.5681772797808025E-2</v>
      </c>
    </row>
    <row r="19" spans="1:6">
      <c r="A19" s="1" t="s">
        <v>94</v>
      </c>
      <c r="B19" s="3">
        <f>'07_Ratios'!B7</f>
        <v>0.2405053657051526</v>
      </c>
      <c r="C19" s="3">
        <f>'07_Ratios'!C7</f>
        <v>0.23600490549704228</v>
      </c>
      <c r="D19" s="3">
        <f>'07_Ratios'!D7</f>
        <v>0.24544277318458013</v>
      </c>
      <c r="E19" s="3">
        <f>(C19/B19)-1</f>
        <v>-1.8712514770367505E-2</v>
      </c>
      <c r="F19" s="3">
        <f>(D19/C19)-1</f>
        <v>3.9990133542610273E-2</v>
      </c>
    </row>
    <row r="20" spans="1:6">
      <c r="A20" s="1" t="s">
        <v>82</v>
      </c>
      <c r="B20" s="5">
        <f>'07_Ratios'!B9</f>
        <v>1.2794259140474664</v>
      </c>
      <c r="C20" s="5">
        <f>'07_Ratios'!C9</f>
        <v>1.2051374644903461</v>
      </c>
      <c r="D20" s="5">
        <f>'07_Ratios'!D9</f>
        <v>1.1869288969713299</v>
      </c>
      <c r="E20" s="3">
        <f>(C20/B20)-1</f>
        <v>-5.8063893142595968E-2</v>
      </c>
      <c r="F20" s="3">
        <f>(D20/C20)-1</f>
        <v>-1.5109120789566277E-2</v>
      </c>
    </row>
    <row r="21" spans="1:6">
      <c r="A21" s="1" t="s">
        <v>84</v>
      </c>
      <c r="B21" s="5">
        <f>'07_Ratios'!B12</f>
        <v>2.8951213943222469</v>
      </c>
      <c r="C21" s="5">
        <f>'07_Ratios'!C12</f>
        <v>3.0516519982686483</v>
      </c>
      <c r="D21" s="5">
        <f>'07_Ratios'!D12</f>
        <v>3.1486203805159878</v>
      </c>
      <c r="E21" s="3">
        <f>(C21/B21)-1</f>
        <v>5.4067026085117043E-2</v>
      </c>
      <c r="F21" s="3">
        <f>(D21/C21)-1</f>
        <v>3.1775701260285949E-2</v>
      </c>
    </row>
    <row r="22" spans="1:6">
      <c r="A22" s="1" t="s">
        <v>86</v>
      </c>
      <c r="B22" s="6">
        <f>'07_Ratios'!B15</f>
        <v>4.478203434610304E-2</v>
      </c>
      <c r="C22" s="6">
        <f>'07_Ratios'!C15</f>
        <v>5.6245479149226681E-2</v>
      </c>
      <c r="D22" s="6">
        <f>'07_Ratios'!D15</f>
        <v>4.279224877474852E-2</v>
      </c>
      <c r="E22" s="6">
        <f>(C22/B22)-1</f>
        <v>0.2559831184650323</v>
      </c>
      <c r="F22" s="6">
        <f>(D22/C22)-1</f>
        <v>-0.23918776367403616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FA83B-5EFC-471B-AA9A-9652E1F4A2B9}">
  <dimension ref="A2:B6"/>
  <sheetViews>
    <sheetView workbookViewId="0">
      <selection activeCell="D4" sqref="D4"/>
    </sheetView>
  </sheetViews>
  <sheetFormatPr defaultRowHeight="15"/>
  <cols>
    <col min="1" max="1" width="33" bestFit="1" customWidth="1"/>
  </cols>
  <sheetData>
    <row r="2" spans="1:2">
      <c r="A2" s="7" t="s">
        <v>95</v>
      </c>
      <c r="B2" s="7">
        <f>'08_Trends'!D2</f>
        <v>256682</v>
      </c>
    </row>
    <row r="3" spans="1:2">
      <c r="A3" s="7" t="s">
        <v>96</v>
      </c>
      <c r="B3" s="8">
        <f>'08_Trends'!D7</f>
        <v>5.8216002680359355E-2</v>
      </c>
    </row>
    <row r="4" spans="1:2">
      <c r="A4" s="7" t="s">
        <v>97</v>
      </c>
      <c r="B4" s="8">
        <f>'08_Trends'!D19</f>
        <v>0.24544277318458013</v>
      </c>
    </row>
    <row r="5" spans="1:2">
      <c r="A5" s="7" t="s">
        <v>98</v>
      </c>
      <c r="B5" s="9">
        <f>'08_Trends'!D20</f>
        <v>1.1869288969713299</v>
      </c>
    </row>
    <row r="6" spans="1:2">
      <c r="A6" s="7" t="s">
        <v>99</v>
      </c>
      <c r="B6" s="10">
        <f>'08_Trends'!D22</f>
        <v>4.279224877474852E-2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D7651-B3DB-473A-8390-E3AF70A8FF32}">
  <dimension ref="A1:D27"/>
  <sheetViews>
    <sheetView tabSelected="1" topLeftCell="A11" workbookViewId="0">
      <selection activeCell="A15" sqref="A15"/>
    </sheetView>
  </sheetViews>
  <sheetFormatPr defaultRowHeight="15"/>
  <cols>
    <col min="1" max="1" width="45.5703125" customWidth="1"/>
  </cols>
  <sheetData>
    <row r="1" spans="1:4" ht="36">
      <c r="A1" s="11" t="s">
        <v>100</v>
      </c>
    </row>
    <row r="2" spans="1:4" ht="29.25">
      <c r="A2" s="4" t="s">
        <v>101</v>
      </c>
    </row>
    <row r="3" spans="1:4" ht="29.25">
      <c r="A3" s="4" t="s">
        <v>102</v>
      </c>
    </row>
    <row r="5" spans="1:4">
      <c r="A5" s="2" t="s">
        <v>103</v>
      </c>
      <c r="B5" s="12" t="s">
        <v>5</v>
      </c>
      <c r="C5" s="12" t="s">
        <v>6</v>
      </c>
      <c r="D5" s="12" t="s">
        <v>7</v>
      </c>
    </row>
    <row r="6" spans="1:4">
      <c r="A6" s="1" t="s">
        <v>104</v>
      </c>
      <c r="B6" s="1">
        <f>'08_Trends'!B2</f>
        <v>219530</v>
      </c>
      <c r="C6" s="1">
        <f>'08_Trends'!C2</f>
        <v>246082</v>
      </c>
      <c r="D6" s="1">
        <f>'08_Trends'!D2</f>
        <v>256682</v>
      </c>
    </row>
    <row r="7" spans="1:4">
      <c r="A7" s="1" t="s">
        <v>105</v>
      </c>
      <c r="B7" s="1">
        <f>'08_Trends'!B4</f>
        <v>12344</v>
      </c>
      <c r="C7" s="1">
        <f>'08_Trends'!C4</f>
        <v>13156</v>
      </c>
      <c r="D7" s="1">
        <f>'08_Trends'!D4</f>
        <v>14943</v>
      </c>
    </row>
    <row r="8" spans="1:4">
      <c r="A8" s="1" t="s">
        <v>106</v>
      </c>
      <c r="B8" s="1">
        <f>'08_Trends'!B5</f>
        <v>6320</v>
      </c>
      <c r="C8" s="1">
        <f>'08_Trends'!C5</f>
        <v>6543</v>
      </c>
      <c r="D8" s="1">
        <f>'08_Trends'!D5</f>
        <v>7392</v>
      </c>
    </row>
    <row r="9" spans="1:4">
      <c r="A9" s="1" t="s">
        <v>31</v>
      </c>
      <c r="B9" s="3">
        <f>'08_Trends'!B7</f>
        <v>5.6229216963512962E-2</v>
      </c>
      <c r="C9" s="3">
        <f>'08_Trends'!C7</f>
        <v>5.3461854178688407E-2</v>
      </c>
      <c r="D9" s="3">
        <f>'08_Trends'!D7</f>
        <v>5.8216002680359355E-2</v>
      </c>
    </row>
    <row r="10" spans="1:4">
      <c r="A10" s="1" t="s">
        <v>107</v>
      </c>
      <c r="B10" s="3">
        <f>'08_Trends'!B19</f>
        <v>0.2405053657051526</v>
      </c>
      <c r="C10" s="3">
        <f>'08_Trends'!C19</f>
        <v>0.23600490549704228</v>
      </c>
      <c r="D10" s="3">
        <f>'08_Trends'!D19</f>
        <v>0.24544277318458013</v>
      </c>
    </row>
    <row r="11" spans="1:4">
      <c r="A11" s="1" t="s">
        <v>91</v>
      </c>
      <c r="B11" s="1">
        <f>'08_Trends'!B14</f>
        <v>9831</v>
      </c>
      <c r="C11" s="1">
        <f>'08_Trends'!C14</f>
        <v>13841</v>
      </c>
      <c r="D11" s="1">
        <f>'08_Trends'!D14</f>
        <v>10984</v>
      </c>
    </row>
    <row r="13" spans="1:4">
      <c r="A13" s="2" t="s">
        <v>108</v>
      </c>
    </row>
    <row r="14" spans="1:4">
      <c r="A14" s="2"/>
    </row>
    <row r="15" spans="1:4" ht="130.5">
      <c r="A15" s="4" t="s">
        <v>109</v>
      </c>
    </row>
    <row r="16" spans="1:4">
      <c r="A16" s="4"/>
    </row>
    <row r="17" spans="1:1" ht="260.25">
      <c r="A17" s="13" t="s">
        <v>110</v>
      </c>
    </row>
    <row r="19" spans="1:1" ht="216.75">
      <c r="A19" s="13" t="s">
        <v>111</v>
      </c>
    </row>
    <row r="21" spans="1:1" ht="216.75">
      <c r="A21" s="13" t="s">
        <v>112</v>
      </c>
    </row>
    <row r="23" spans="1:1" ht="216.75">
      <c r="A23" s="13" t="s">
        <v>113</v>
      </c>
    </row>
    <row r="25" spans="1:1" ht="101.25">
      <c r="A25" s="13" t="s">
        <v>114</v>
      </c>
    </row>
    <row r="27" spans="1:1" ht="115.5">
      <c r="A27" s="13" t="s">
        <v>115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E22F-90A0-41EB-854B-2CBEFABA1031}">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2026-02-08T18:01:27Z</dcterms:created>
  <dcterms:modified xsi:type="dcterms:W3CDTF">2026-02-21T16:37:59Z</dcterms:modified>
  <cp:category/>
  <cp:contentStatus/>
</cp:coreProperties>
</file>