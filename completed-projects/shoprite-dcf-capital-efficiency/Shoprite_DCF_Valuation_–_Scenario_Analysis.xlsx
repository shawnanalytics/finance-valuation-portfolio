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16"/>
  <workbookPr updateLinks="always" defaultThemeVersion="166925"/>
  <xr:revisionPtr revIDLastSave="0" documentId="8_{5BFE0468-1353-4050-A0CA-7CB0A491CF2D}" xr6:coauthVersionLast="47" xr6:coauthVersionMax="47" xr10:uidLastSave="{00000000-0000-0000-0000-000000000000}"/>
  <bookViews>
    <workbookView xWindow="240" yWindow="105" windowWidth="14805" windowHeight="8010" firstSheet="18" activeTab="19" xr2:uid="{00000000-000D-0000-FFFF-FFFF00000000}"/>
  </bookViews>
  <sheets>
    <sheet name="00_Control" sheetId="1" r:id="rId1"/>
    <sheet name="01_Historical_Input" sheetId="2" r:id="rId2"/>
    <sheet name="02_Key_Assumptions_Bear" sheetId="16" r:id="rId3"/>
    <sheet name="02_Key_Assumptions_Base" sheetId="17" r:id="rId4"/>
    <sheet name="02_Key_Assumptions_Bull" sheetId="18" r:id="rId5"/>
    <sheet name="02_Key_Assumptions" sheetId="3" r:id="rId6"/>
    <sheet name="03_Revenue_Forecast" sheetId="4" r:id="rId7"/>
    <sheet name="04_Costs_&amp;_Margins" sheetId="5" r:id="rId8"/>
    <sheet name="05_Forecast_IS" sheetId="6" r:id="rId9"/>
    <sheet name="06_Forecast_CF_Base" sheetId="19" r:id="rId10"/>
    <sheet name="06_Forecast_CF_Bull" sheetId="21" r:id="rId11"/>
    <sheet name="06_Forecast_CF_Bear" sheetId="20" r:id="rId12"/>
    <sheet name="06_Forecast_CF" sheetId="7" r:id="rId13"/>
    <sheet name="07_Forecast_BS (lite)" sheetId="8" r:id="rId14"/>
    <sheet name="08_Valuation_Bear" sheetId="14" r:id="rId15"/>
    <sheet name="08_Valuation_Bull" sheetId="15" r:id="rId16"/>
    <sheet name="08_Valuation_Base" sheetId="13" r:id="rId17"/>
    <sheet name="08_Valuation" sheetId="9" r:id="rId18"/>
    <sheet name="09_Dashboard_" sheetId="12" r:id="rId19"/>
    <sheet name="10_Investment_Summary" sheetId="11" r:id="rId2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11" l="1"/>
  <c r="G9" i="12"/>
  <c r="G8" i="12"/>
  <c r="G7" i="12"/>
  <c r="F9" i="12"/>
  <c r="F8" i="12"/>
  <c r="F7" i="12"/>
  <c r="C5" i="15"/>
  <c r="D5" i="15"/>
  <c r="E5" i="15"/>
  <c r="F5" i="15"/>
  <c r="B5" i="15"/>
  <c r="D18" i="12"/>
  <c r="C18" i="12"/>
  <c r="B18" i="12"/>
  <c r="D17" i="12"/>
  <c r="C17" i="12"/>
  <c r="B17" i="12"/>
  <c r="D16" i="12"/>
  <c r="C16" i="12"/>
  <c r="B16" i="12"/>
  <c r="D15" i="12"/>
  <c r="C15" i="12"/>
  <c r="B15" i="12"/>
  <c r="B8" i="12"/>
  <c r="C8" i="12" s="1"/>
  <c r="B7" i="12"/>
  <c r="C7" i="12" s="1"/>
  <c r="B5" i="14"/>
  <c r="C5" i="14"/>
  <c r="D5" i="14"/>
  <c r="E5" i="14"/>
  <c r="F5" i="14"/>
  <c r="C5" i="13"/>
  <c r="D5" i="13"/>
  <c r="E5" i="13"/>
  <c r="F5" i="13"/>
  <c r="B5" i="13"/>
  <c r="B3" i="21"/>
  <c r="C3" i="21"/>
  <c r="D3" i="21"/>
  <c r="E3" i="21"/>
  <c r="F3" i="21"/>
  <c r="B4" i="21"/>
  <c r="C4" i="21"/>
  <c r="D4" i="21"/>
  <c r="E4" i="21"/>
  <c r="F4" i="21"/>
  <c r="B3" i="19"/>
  <c r="C3" i="19"/>
  <c r="D3" i="19"/>
  <c r="E3" i="19"/>
  <c r="F3" i="19"/>
  <c r="B4" i="19"/>
  <c r="C4" i="19"/>
  <c r="D4" i="19"/>
  <c r="E4" i="19"/>
  <c r="F4" i="19"/>
  <c r="B3" i="20"/>
  <c r="C3" i="20"/>
  <c r="D3" i="20"/>
  <c r="E3" i="20"/>
  <c r="F3" i="20"/>
  <c r="B4" i="20"/>
  <c r="C4" i="20"/>
  <c r="D4" i="20"/>
  <c r="E4" i="20"/>
  <c r="F4" i="20"/>
  <c r="F2" i="21"/>
  <c r="E2" i="21"/>
  <c r="D2" i="21"/>
  <c r="C2" i="21"/>
  <c r="B2" i="21"/>
  <c r="F2" i="20"/>
  <c r="E2" i="20"/>
  <c r="D2" i="20"/>
  <c r="C2" i="20"/>
  <c r="B2" i="20"/>
  <c r="F2" i="19"/>
  <c r="E2" i="19"/>
  <c r="D2" i="19"/>
  <c r="C2" i="19"/>
  <c r="B2" i="19"/>
  <c r="B3" i="7"/>
  <c r="B7" i="15"/>
  <c r="C7" i="15"/>
  <c r="D7" i="15"/>
  <c r="E7" i="15"/>
  <c r="F7" i="15"/>
  <c r="F10" i="15"/>
  <c r="B17" i="15"/>
  <c r="B17" i="13"/>
  <c r="B1" i="13"/>
  <c r="B2" i="13"/>
  <c r="B7" i="14"/>
  <c r="C7" i="14"/>
  <c r="D7" i="14"/>
  <c r="E7" i="14"/>
  <c r="F7" i="14"/>
  <c r="F10" i="14"/>
  <c r="B17" i="14"/>
  <c r="F10" i="13"/>
  <c r="F7" i="13"/>
  <c r="E7" i="13"/>
  <c r="D7" i="13"/>
  <c r="C7" i="13"/>
  <c r="B7" i="13"/>
  <c r="B15" i="15"/>
  <c r="E8" i="15"/>
  <c r="D8" i="15"/>
  <c r="C8" i="15"/>
  <c r="B15" i="14"/>
  <c r="E8" i="14"/>
  <c r="D8" i="14"/>
  <c r="C8" i="14"/>
  <c r="B15" i="13"/>
  <c r="E8" i="13"/>
  <c r="D8" i="13"/>
  <c r="C8" i="13"/>
  <c r="B1" i="9"/>
  <c r="B2" i="9"/>
  <c r="B17" i="9"/>
  <c r="B15" i="9"/>
  <c r="C7" i="9"/>
  <c r="D7" i="9"/>
  <c r="E7" i="9"/>
  <c r="F7" i="9"/>
  <c r="B7" i="9"/>
  <c r="C5" i="9"/>
  <c r="C8" i="9" s="1"/>
  <c r="D5" i="9"/>
  <c r="D8" i="9" s="1"/>
  <c r="E5" i="9"/>
  <c r="E8" i="9" s="1"/>
  <c r="F5" i="9"/>
  <c r="C5" i="7"/>
  <c r="D5" i="7"/>
  <c r="E5" i="7"/>
  <c r="F5" i="7"/>
  <c r="B5" i="7"/>
  <c r="C4" i="7"/>
  <c r="D4" i="7"/>
  <c r="E4" i="7"/>
  <c r="F4" i="7"/>
  <c r="B4" i="7"/>
  <c r="C3" i="7"/>
  <c r="D3" i="7"/>
  <c r="E3" i="7"/>
  <c r="F3" i="7"/>
  <c r="F2" i="7"/>
  <c r="E2" i="7"/>
  <c r="D2" i="7"/>
  <c r="C2" i="7"/>
  <c r="B2" i="7"/>
  <c r="C6" i="6"/>
  <c r="D6" i="6"/>
  <c r="E6" i="6"/>
  <c r="F6" i="6"/>
  <c r="B6" i="6"/>
  <c r="C5" i="6"/>
  <c r="D5" i="6"/>
  <c r="E5" i="6"/>
  <c r="F5" i="6"/>
  <c r="B5" i="6"/>
  <c r="C4" i="6"/>
  <c r="D4" i="6"/>
  <c r="E4" i="6"/>
  <c r="F4" i="6"/>
  <c r="B4" i="6"/>
  <c r="C3" i="6"/>
  <c r="D3" i="6"/>
  <c r="E3" i="6"/>
  <c r="F3" i="6"/>
  <c r="B3" i="6"/>
  <c r="F2" i="6"/>
  <c r="E2" i="6"/>
  <c r="D2" i="6"/>
  <c r="C2" i="6"/>
  <c r="B2" i="6"/>
  <c r="C8" i="5"/>
  <c r="D8" i="5"/>
  <c r="E8" i="5"/>
  <c r="F8" i="5"/>
  <c r="B8" i="5"/>
  <c r="C7" i="5"/>
  <c r="D7" i="5"/>
  <c r="E7" i="5"/>
  <c r="F7" i="5"/>
  <c r="B7" i="5"/>
  <c r="C6" i="5"/>
  <c r="D6" i="5"/>
  <c r="E6" i="5"/>
  <c r="F6" i="5"/>
  <c r="B6" i="5"/>
  <c r="C5" i="5"/>
  <c r="D5" i="5"/>
  <c r="E5" i="5"/>
  <c r="F5" i="5"/>
  <c r="B5" i="5"/>
  <c r="C4" i="5"/>
  <c r="D4" i="5"/>
  <c r="E4" i="5"/>
  <c r="F4" i="5"/>
  <c r="B4" i="5"/>
  <c r="C3" i="5"/>
  <c r="D3" i="5"/>
  <c r="E3" i="5"/>
  <c r="F3" i="5"/>
  <c r="B3" i="5"/>
  <c r="F2" i="5"/>
  <c r="E2" i="5"/>
  <c r="D2" i="5"/>
  <c r="C2" i="5"/>
  <c r="B2" i="5"/>
  <c r="B6" i="4"/>
  <c r="B7" i="4"/>
  <c r="B8" i="4"/>
  <c r="B9" i="4"/>
  <c r="B5" i="4"/>
  <c r="C9" i="4"/>
  <c r="C8" i="4"/>
  <c r="C7" i="4"/>
  <c r="C6" i="4"/>
  <c r="C5" i="4"/>
  <c r="C4" i="4"/>
  <c r="C3" i="4"/>
  <c r="B4" i="4"/>
  <c r="B3" i="4"/>
  <c r="B2" i="4"/>
  <c r="B5" i="21" l="1"/>
  <c r="C5" i="21"/>
  <c r="D5" i="21"/>
  <c r="E5" i="21"/>
  <c r="F5" i="21"/>
  <c r="B5" i="20"/>
  <c r="C5" i="20"/>
  <c r="D5" i="20"/>
  <c r="E5" i="20"/>
  <c r="F5" i="20"/>
  <c r="B5" i="19"/>
  <c r="C5" i="19"/>
  <c r="D5" i="19"/>
  <c r="E5" i="19"/>
  <c r="F5" i="19"/>
  <c r="B8" i="15"/>
  <c r="B8" i="14"/>
  <c r="B8" i="13"/>
  <c r="B5" i="9"/>
  <c r="B8" i="9" s="1"/>
  <c r="F11" i="15"/>
  <c r="F8" i="15"/>
  <c r="B13" i="15" s="1"/>
  <c r="B16" i="15" s="1"/>
  <c r="B18" i="15" s="1"/>
  <c r="B9" i="12" s="1"/>
  <c r="C9" i="12" s="1"/>
  <c r="F11" i="14"/>
  <c r="F8" i="14"/>
  <c r="B13" i="14" s="1"/>
  <c r="B16" i="14" s="1"/>
  <c r="B18" i="14" s="1"/>
  <c r="F11" i="13"/>
  <c r="F8" i="13"/>
  <c r="B13" i="13" s="1"/>
  <c r="B16" i="13" s="1"/>
  <c r="B18" i="13" s="1"/>
  <c r="F10" i="9"/>
  <c r="F11" i="9" s="1"/>
  <c r="F8" i="9"/>
  <c r="B13" i="9" s="1"/>
  <c r="B16" i="9" s="1"/>
  <c r="B18" i="9" l="1"/>
</calcChain>
</file>

<file path=xl/sharedStrings.xml><?xml version="1.0" encoding="utf-8"?>
<sst xmlns="http://schemas.openxmlformats.org/spreadsheetml/2006/main" count="277" uniqueCount="94">
  <si>
    <t>Model Name: Shoprite Financial Forecast &amp; Valuation</t>
  </si>
  <si>
    <t>Prepared by: Saun Sibanyoni</t>
  </si>
  <si>
    <t>Base Currency: ZAR (R million)</t>
  </si>
  <si>
    <t>Historical Period: FY2023-FY2025</t>
  </si>
  <si>
    <t>Forecast Period: FY2026-FY2030</t>
  </si>
  <si>
    <t>Valuation Date: FY2025 year-end</t>
  </si>
  <si>
    <t>Methodology: DCF + Multiples (Cross-check)</t>
  </si>
  <si>
    <t>Version: v1.0</t>
  </si>
  <si>
    <t>Item</t>
  </si>
  <si>
    <t>FY2023</t>
  </si>
  <si>
    <t>FY2024</t>
  </si>
  <si>
    <t>FY2025</t>
  </si>
  <si>
    <t>Revenue</t>
  </si>
  <si>
    <t>Operating profit</t>
  </si>
  <si>
    <t>Profit after tax</t>
  </si>
  <si>
    <t>Operating cash flow</t>
  </si>
  <si>
    <t>Capital expenditure</t>
  </si>
  <si>
    <t>Total assets</t>
  </si>
  <si>
    <t>Total equity</t>
  </si>
  <si>
    <t>Total liabilities</t>
  </si>
  <si>
    <t>Cash &amp; cash equivalents</t>
  </si>
  <si>
    <t>Interest-bearing borrowings</t>
  </si>
  <si>
    <t>Shares outstanding (millions)</t>
  </si>
  <si>
    <t>Assumption</t>
  </si>
  <si>
    <t>Value</t>
  </si>
  <si>
    <t>Notes</t>
  </si>
  <si>
    <t>Revenue Growth FY2026</t>
  </si>
  <si>
    <t>Revenue Growth FY2027</t>
  </si>
  <si>
    <t>Revenue Growth FY2028</t>
  </si>
  <si>
    <t>Revenue Growth FY2029</t>
  </si>
  <si>
    <t>Revenue Growth FY2030</t>
  </si>
  <si>
    <t>Operating Margin</t>
  </si>
  <si>
    <t>Tax Rate</t>
  </si>
  <si>
    <t>Operating Cash Flow Margin</t>
  </si>
  <si>
    <t>Capex % of Revenue</t>
  </si>
  <si>
    <t>WACC</t>
  </si>
  <si>
    <t>Terminal Growth Rate</t>
  </si>
  <si>
    <t>Forecast Period (Years)</t>
  </si>
  <si>
    <t>Year</t>
  </si>
  <si>
    <t>Growth %</t>
  </si>
  <si>
    <t>FY2026</t>
  </si>
  <si>
    <t>FY2027</t>
  </si>
  <si>
    <t>FY2028</t>
  </si>
  <si>
    <t>FY2029</t>
  </si>
  <si>
    <t>FY2030</t>
  </si>
  <si>
    <t>Operating margin</t>
  </si>
  <si>
    <t>Tax rate</t>
  </si>
  <si>
    <t>Tax expense</t>
  </si>
  <si>
    <t>Net margin %</t>
  </si>
  <si>
    <t>Line Item</t>
  </si>
  <si>
    <t>Capex</t>
  </si>
  <si>
    <t>Free cash flow</t>
  </si>
  <si>
    <t>Free Cash Flow</t>
  </si>
  <si>
    <t>Year Number</t>
  </si>
  <si>
    <t>Discount Factor</t>
  </si>
  <si>
    <t>Present Value of FCF</t>
  </si>
  <si>
    <t>Terminal Value (FY2030)</t>
  </si>
  <si>
    <t>PV of Terminal Value</t>
  </si>
  <si>
    <t>Enterprise Value</t>
  </si>
  <si>
    <t>Net Debt</t>
  </si>
  <si>
    <t>Equity Value</t>
  </si>
  <si>
    <t>Shares Outstanding (m)</t>
  </si>
  <si>
    <t>Implied Share Price (ZAR)</t>
  </si>
  <si>
    <t>SHOPRITE HOLDINGS</t>
  </si>
  <si>
    <t>Discounted Cash Flow Valuation – Scenario Analysis</t>
  </si>
  <si>
    <t>Valuation Summary</t>
  </si>
  <si>
    <t>Market Price</t>
  </si>
  <si>
    <t>Scenario</t>
  </si>
  <si>
    <t>Implied Value</t>
  </si>
  <si>
    <t>Bear Case</t>
  </si>
  <si>
    <t>Bear</t>
  </si>
  <si>
    <t>Base Case</t>
  </si>
  <si>
    <t>Base</t>
  </si>
  <si>
    <t>Bull Case</t>
  </si>
  <si>
    <t>Bull</t>
  </si>
  <si>
    <t>Key Assumptions Summary</t>
  </si>
  <si>
    <t>Terminal Growth</t>
  </si>
  <si>
    <t>OCF Margin</t>
  </si>
  <si>
    <t>Capex %</t>
  </si>
  <si>
    <t>Investment Summary – DCF Valuation</t>
  </si>
  <si>
    <t>Metric</t>
  </si>
  <si>
    <t>Current Market Price</t>
  </si>
  <si>
    <t>Base Case Intrinsic Value</t>
  </si>
  <si>
    <t>Bear Case Value</t>
  </si>
  <si>
    <t>Bull Case Value</t>
  </si>
  <si>
    <t>Implied Upside / (Downside) – Base</t>
  </si>
  <si>
    <t>Investment View</t>
  </si>
  <si>
    <t>A discounted cash flow analysis indicates that Shoprite’s intrinsic value ranges between R79.13 and R220.50 per share across bear and bull scenarios. The base case valuation of R147.27 implies a downside of approximately 44% relative to the current market price of R264.00. Even under more optimistic operating assumptions, the valuation does not exceed the prevailing market price, suggesting that the stock is currently trading above fundamental value estimates derived from projected cash flows.</t>
  </si>
  <si>
    <t>Key Valuation Drivers</t>
  </si>
  <si>
    <t>Discount rate (WACC range: 11%–13%)
Terminal growth assumption (2.5%–3.5%)
Operating cash flow margin (5%–6%)
Capex intensity (2.8%–3.5%)</t>
  </si>
  <si>
    <t>Risks to The View</t>
  </si>
  <si>
    <t>Structural improvement in margins above modeled range
Lower cost of capital due to macro stabilization
Stronger-than-expected free cash flow growth
Multiple expansion driven by sentiment</t>
  </si>
  <si>
    <t>Closing Statement</t>
  </si>
  <si>
    <t>This valuation exercise demonstrates the application of fundamental discounted cash flow methodology to assess intrinsic equity value under varying macroeconomic and operational assumptions. While market pricing may reflect sentiment, momentum, and forward expectations beyond modeled inputs, the analysis provides a structured framework for evaluating valuation risk and return asymmetry. Based on projected free cash flows, cost of capital assumptions, and terminal growth parameters, the current market price appears to embed expectations materially above base-case intrinsic value estimates. The model therefore suggests limited margin of safety at present levels, reinforcing the importance of disciplined capital allocation and scenario-based risk assessment.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</si>
</sst>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quot;#,##0.00"/>
  </numFmts>
  <fonts count="10">
    <font>
      <sz val="11"/>
      <color theme="1"/>
      <name val="Calibri"/>
      <family val="2"/>
      <scheme val="minor"/>
    </font>
    <font>
      <sz val="11"/>
      <color theme="1"/>
      <name val="Aptos Narrow"/>
    </font>
    <font>
      <b/>
      <sz val="11"/>
      <color theme="1"/>
      <name val="Aptos Narrow"/>
    </font>
    <font>
      <b/>
      <sz val="18"/>
      <color theme="1"/>
      <name val="Aptos Narrow"/>
    </font>
    <font>
      <sz val="11"/>
      <color rgb="FF000000"/>
      <name val="Aptos Narrow"/>
    </font>
    <font>
      <b/>
      <sz val="20"/>
      <color rgb="FF000000"/>
      <name val="Aptos Narrow"/>
    </font>
    <font>
      <b/>
      <sz val="14"/>
      <color theme="1"/>
      <name val="Aptos Narrow"/>
    </font>
    <font>
      <b/>
      <sz val="12"/>
      <color theme="1"/>
      <name val="Aptos Narrow"/>
    </font>
    <font>
      <b/>
      <sz val="12"/>
      <color rgb="FF000000"/>
      <name val="Aptos Narrow"/>
    </font>
    <font>
      <b/>
      <sz val="20"/>
      <color theme="1"/>
      <name val="Aptos Narrow"/>
    </font>
  </fonts>
  <fills count="3">
    <fill>
      <patternFill patternType="none"/>
    </fill>
    <fill>
      <patternFill patternType="gray125"/>
    </fill>
    <fill>
      <patternFill patternType="solid">
        <fgColor theme="0" tint="-4.9989318521683403E-2"/>
        <bgColor indexed="64"/>
      </patternFill>
    </fill>
  </fills>
  <borders count="10">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34">
    <xf numFmtId="0" fontId="0" fillId="0" borderId="0" xfId="0"/>
    <xf numFmtId="0" fontId="1" fillId="0" borderId="0" xfId="0" applyFont="1" applyAlignment="1">
      <alignment wrapText="1"/>
    </xf>
    <xf numFmtId="0" fontId="1" fillId="0" borderId="0" xfId="0" applyFont="1"/>
    <xf numFmtId="0" fontId="2" fillId="0" borderId="0" xfId="0" applyFont="1" applyAlignment="1">
      <alignment wrapText="1"/>
    </xf>
    <xf numFmtId="0" fontId="2" fillId="2" borderId="0" xfId="0" applyFont="1" applyFill="1" applyAlignment="1">
      <alignment wrapText="1"/>
    </xf>
    <xf numFmtId="0" fontId="3" fillId="2" borderId="0" xfId="0" applyFont="1" applyFill="1" applyAlignment="1">
      <alignment wrapText="1"/>
    </xf>
    <xf numFmtId="0" fontId="4" fillId="0" borderId="0" xfId="0" applyFont="1" applyFill="1" applyBorder="1" applyAlignment="1"/>
    <xf numFmtId="10" fontId="1" fillId="0" borderId="0" xfId="0" applyNumberFormat="1" applyFont="1"/>
    <xf numFmtId="0" fontId="2" fillId="0" borderId="0" xfId="0" applyFont="1"/>
    <xf numFmtId="1" fontId="1" fillId="0" borderId="0" xfId="0" applyNumberFormat="1" applyFont="1"/>
    <xf numFmtId="2" fontId="1" fillId="0" borderId="0" xfId="0" applyNumberFormat="1" applyFont="1"/>
    <xf numFmtId="2" fontId="1" fillId="0" borderId="0" xfId="0" applyNumberFormat="1" applyFont="1" applyAlignment="1">
      <alignment wrapText="1"/>
    </xf>
    <xf numFmtId="0" fontId="5"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1" fillId="0" borderId="1" xfId="0" applyFont="1" applyBorder="1"/>
    <xf numFmtId="164" fontId="1" fillId="0" borderId="2" xfId="0" applyNumberFormat="1" applyFont="1" applyBorder="1"/>
    <xf numFmtId="0" fontId="1" fillId="0" borderId="3" xfId="0" applyFont="1" applyBorder="1"/>
    <xf numFmtId="0" fontId="1" fillId="0" borderId="4" xfId="0" applyFont="1" applyBorder="1"/>
    <xf numFmtId="164" fontId="1" fillId="0" borderId="5" xfId="0" applyNumberFormat="1" applyFont="1" applyBorder="1"/>
    <xf numFmtId="10" fontId="1" fillId="0" borderId="6" xfId="0" applyNumberFormat="1" applyFont="1" applyBorder="1"/>
    <xf numFmtId="164" fontId="1" fillId="0" borderId="0" xfId="0" applyNumberFormat="1" applyFont="1"/>
    <xf numFmtId="0" fontId="1" fillId="0" borderId="7" xfId="0" applyFont="1" applyBorder="1"/>
    <xf numFmtId="164" fontId="1" fillId="0" borderId="8" xfId="0" applyNumberFormat="1" applyFont="1" applyBorder="1"/>
    <xf numFmtId="0" fontId="8" fillId="0" borderId="0" xfId="0" applyFont="1"/>
    <xf numFmtId="0" fontId="2" fillId="0" borderId="1" xfId="0" applyFont="1" applyBorder="1"/>
    <xf numFmtId="0" fontId="2" fillId="0" borderId="2" xfId="0" applyFont="1" applyBorder="1"/>
    <xf numFmtId="0" fontId="2" fillId="0" borderId="3" xfId="0" applyFont="1" applyBorder="1"/>
    <xf numFmtId="10" fontId="1" fillId="0" borderId="5" xfId="0" applyNumberFormat="1" applyFont="1" applyBorder="1"/>
    <xf numFmtId="10" fontId="1" fillId="0" borderId="8" xfId="0" applyNumberFormat="1" applyFont="1" applyBorder="1"/>
    <xf numFmtId="10" fontId="1" fillId="0" borderId="9" xfId="0" applyNumberFormat="1" applyFont="1" applyBorder="1"/>
    <xf numFmtId="0" fontId="9" fillId="0" borderId="0" xfId="0" applyFont="1"/>
    <xf numFmtId="164" fontId="1" fillId="0" borderId="0" xfId="0" quotePrefix="1" applyNumberFormat="1" applyFont="1"/>
    <xf numFmtId="10" fontId="1" fillId="0" borderId="0" xfId="0" quotePrefix="1" applyNumberFormat="1" applyFont="1"/>
  </cellXfs>
  <cellStyles count="1">
    <cellStyle name="Normal" xfId="0" builtinId="0"/>
  </cellStyles>
  <dxfs count="82">
    <dxf>
      <font>
        <b val="0"/>
        <i val="0"/>
        <strike val="0"/>
        <condense val="0"/>
        <extend val="0"/>
        <outline val="0"/>
        <shadow val="0"/>
        <u val="none"/>
        <vertAlign val="baseline"/>
        <sz val="11"/>
        <color theme="1"/>
        <name val="Aptos Narrow"/>
        <scheme val="none"/>
      </font>
      <numFmt numFmtId="2" formatCode="0.00"/>
    </dxf>
    <dxf>
      <font>
        <b val="0"/>
        <i val="0"/>
        <strike val="0"/>
        <condense val="0"/>
        <extend val="0"/>
        <outline val="0"/>
        <shadow val="0"/>
        <u val="none"/>
        <vertAlign val="baseline"/>
        <sz val="11"/>
        <color theme="1"/>
        <name val="Aptos Narrow"/>
        <scheme val="none"/>
      </font>
      <numFmt numFmtId="2" formatCode="0.00"/>
    </dxf>
    <dxf>
      <font>
        <b val="0"/>
        <i val="0"/>
        <strike val="0"/>
        <condense val="0"/>
        <extend val="0"/>
        <outline val="0"/>
        <shadow val="0"/>
        <u val="none"/>
        <vertAlign val="baseline"/>
        <sz val="11"/>
        <color theme="1"/>
        <name val="Aptos Narrow"/>
        <scheme val="none"/>
      </font>
      <numFmt numFmtId="2" formatCode="0.00"/>
    </dxf>
    <dxf>
      <font>
        <b val="0"/>
        <i val="0"/>
        <strike val="0"/>
        <condense val="0"/>
        <extend val="0"/>
        <outline val="0"/>
        <shadow val="0"/>
        <u val="none"/>
        <vertAlign val="baseline"/>
        <sz val="11"/>
        <color theme="1"/>
        <name val="Aptos Narrow"/>
        <scheme val="none"/>
      </font>
      <numFmt numFmtId="2" formatCode="0.00"/>
    </dxf>
    <dxf>
      <font>
        <b val="0"/>
        <i val="0"/>
        <strike val="0"/>
        <condense val="0"/>
        <extend val="0"/>
        <outline val="0"/>
        <shadow val="0"/>
        <u val="none"/>
        <vertAlign val="baseline"/>
        <sz val="11"/>
        <color theme="1"/>
        <name val="Aptos Narrow"/>
        <scheme val="none"/>
      </font>
      <numFmt numFmtId="2" formatCode="0.00"/>
    </dxf>
    <dxf>
      <font>
        <b val="0"/>
        <i val="0"/>
        <strike val="0"/>
        <condense val="0"/>
        <extend val="0"/>
        <outline val="0"/>
        <shadow val="0"/>
        <u val="none"/>
        <vertAlign val="baseline"/>
        <sz val="11"/>
        <color theme="1"/>
        <name val="Aptos Narrow"/>
        <scheme val="none"/>
      </font>
      <numFmt numFmtId="2" formatCode="0.00"/>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numFmt numFmtId="2" formatCode="0.00"/>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numFmt numFmtId="14" formatCode="0.00%"/>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a:t>Implied Equity Value vs Current Market Price</a:t>
            </a:r>
          </a:p>
        </c:rich>
      </c:tx>
      <c:layout>
        <c:manualLayout>
          <c:xMode val="edge"/>
          <c:yMode val="edge"/>
          <c:x val="0.24997196373180622"/>
          <c:y val="4.361919511505651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'09_Dashboard_'!$F$6</c:f>
              <c:strCache>
                <c:ptCount val="1"/>
                <c:pt idx="0">
                  <c:v>Implied Value</c:v>
                </c:pt>
              </c:strCache>
            </c:strRef>
          </c:tx>
          <c:spPr>
            <a:solidFill>
              <a:srgbClr val="002060"/>
            </a:solidFill>
            <a:ln>
              <a:noFill/>
            </a:ln>
            <a:effectLst/>
          </c:spPr>
          <c:invertIfNegative val="0"/>
          <c:cat>
            <c:strRef>
              <c:f>'09_Dashboard_'!$E$7:$E$9</c:f>
              <c:strCache>
                <c:ptCount val="3"/>
                <c:pt idx="0">
                  <c:v>Bear</c:v>
                </c:pt>
                <c:pt idx="1">
                  <c:v>Base</c:v>
                </c:pt>
                <c:pt idx="2">
                  <c:v>Bull</c:v>
                </c:pt>
              </c:strCache>
            </c:strRef>
          </c:cat>
          <c:val>
            <c:numRef>
              <c:f>'09_Dashboard_'!$F$7:$F$9</c:f>
              <c:numCache>
                <c:formatCode>"R"#,##0.00</c:formatCode>
                <c:ptCount val="3"/>
                <c:pt idx="0">
                  <c:v>79.134394074022225</c:v>
                </c:pt>
                <c:pt idx="1">
                  <c:v>147.27100286695276</c:v>
                </c:pt>
                <c:pt idx="2">
                  <c:v>220.503811103847</c:v>
                </c:pt>
              </c:numCache>
            </c:numRef>
          </c:val>
          <c:extLst>
            <c:ext xmlns:c16="http://schemas.microsoft.com/office/drawing/2014/chart" uri="{C3380CC4-5D6E-409C-BE32-E72D297353CC}">
              <c16:uniqueId val="{00000000-909D-48BD-AF27-84B51CBD0D27}"/>
            </c:ext>
          </c:extLst>
        </c:ser>
        <c:dLbls>
          <c:showLegendKey val="0"/>
          <c:showVal val="0"/>
          <c:showCatName val="0"/>
          <c:showSerName val="0"/>
          <c:showPercent val="0"/>
          <c:showBubbleSize val="0"/>
        </c:dLbls>
        <c:gapWidth val="219"/>
        <c:axId val="730964488"/>
        <c:axId val="944095240"/>
      </c:barChart>
      <c:lineChart>
        <c:grouping val="standard"/>
        <c:varyColors val="0"/>
        <c:ser>
          <c:idx val="1"/>
          <c:order val="1"/>
          <c:tx>
            <c:strRef>
              <c:f>'09_Dashboard_'!$G$6</c:f>
              <c:strCache>
                <c:ptCount val="1"/>
                <c:pt idx="0">
                  <c:v>Market Price</c:v>
                </c:pt>
              </c:strCache>
            </c:strRef>
          </c:tx>
          <c:spPr>
            <a:ln w="28575" cap="rnd">
              <a:solidFill>
                <a:srgbClr val="ED7D31"/>
              </a:solidFill>
              <a:prstDash val="solid"/>
              <a:round/>
            </a:ln>
            <a:effectLst/>
          </c:spPr>
          <c:marker>
            <c:symbol val="none"/>
          </c:marker>
          <c:cat>
            <c:strRef>
              <c:f>'09_Dashboard_'!$E$7:$E$9</c:f>
              <c:strCache>
                <c:ptCount val="3"/>
                <c:pt idx="0">
                  <c:v>Bear</c:v>
                </c:pt>
                <c:pt idx="1">
                  <c:v>Base</c:v>
                </c:pt>
                <c:pt idx="2">
                  <c:v>Bull</c:v>
                </c:pt>
              </c:strCache>
            </c:strRef>
          </c:cat>
          <c:val>
            <c:numRef>
              <c:f>'09_Dashboard_'!$G$7:$G$9</c:f>
              <c:numCache>
                <c:formatCode>"R"#,##0.00</c:formatCode>
                <c:ptCount val="3"/>
                <c:pt idx="0">
                  <c:v>264</c:v>
                </c:pt>
                <c:pt idx="1">
                  <c:v>264</c:v>
                </c:pt>
                <c:pt idx="2">
                  <c:v>264</c:v>
                </c:pt>
              </c:numCache>
            </c:numRef>
          </c:val>
          <c:smooth val="0"/>
          <c:extLst>
            <c:ext xmlns:c16="http://schemas.microsoft.com/office/drawing/2014/chart" uri="{C3380CC4-5D6E-409C-BE32-E72D297353CC}">
              <c16:uniqueId val="{00000002-909D-48BD-AF27-84B51CBD0D27}"/>
            </c:ext>
          </c:extLst>
        </c:ser>
        <c:dLbls>
          <c:showLegendKey val="0"/>
          <c:showVal val="0"/>
          <c:showCatName val="0"/>
          <c:showSerName val="0"/>
          <c:showPercent val="0"/>
          <c:showBubbleSize val="0"/>
        </c:dLbls>
        <c:marker val="1"/>
        <c:smooth val="0"/>
        <c:axId val="730964488"/>
        <c:axId val="944095240"/>
      </c:lineChart>
      <c:catAx>
        <c:axId val="7309644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095240"/>
        <c:crosses val="autoZero"/>
        <c:auto val="1"/>
        <c:lblAlgn val="ctr"/>
        <c:lblOffset val="100"/>
        <c:noMultiLvlLbl val="0"/>
      </c:catAx>
      <c:valAx>
        <c:axId val="944095240"/>
        <c:scaling>
          <c:orientation val="minMax"/>
        </c:scaling>
        <c:delete val="0"/>
        <c:axPos val="l"/>
        <c:numFmt formatCode="&quot;R&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9644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600075</xdr:colOff>
      <xdr:row>0</xdr:row>
      <xdr:rowOff>0</xdr:rowOff>
    </xdr:from>
    <xdr:to>
      <xdr:col>18</xdr:col>
      <xdr:colOff>600075</xdr:colOff>
      <xdr:row>17</xdr:row>
      <xdr:rowOff>180975</xdr:rowOff>
    </xdr:to>
    <xdr:graphicFrame macro="">
      <xdr:nvGraphicFramePr>
        <xdr:cNvPr id="2" name="Chart 1">
          <a:extLst>
            <a:ext uri="{FF2B5EF4-FFF2-40B4-BE49-F238E27FC236}">
              <a16:creationId xmlns:a16="http://schemas.microsoft.com/office/drawing/2014/main" id="{8D35E458-E1BE-C2FD-5E2A-E058EDDEA3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D29A23-172A-4EFF-81F7-6E096F158847}" name="Table1" displayName="Table1" ref="A1:D12" totalsRowShown="0" headerRowDxfId="81" dataDxfId="80">
  <autoFilter ref="A1:D12" xr:uid="{89D29A23-172A-4EFF-81F7-6E096F158847}"/>
  <tableColumns count="4">
    <tableColumn id="1" xr3:uid="{2DA040A3-0489-46D7-8983-A353A4D314E9}" name="Item" dataDxfId="79"/>
    <tableColumn id="2" xr3:uid="{F5075480-4824-4981-9585-28A32F3E678C}" name="FY2023" dataDxfId="78"/>
    <tableColumn id="3" xr3:uid="{9CF6ECB9-6912-409B-A0B2-54A86F0B0A9B}" name="FY2024" dataDxfId="77"/>
    <tableColumn id="4" xr3:uid="{9D887E2A-D90B-4491-B313-7B9ACFA2BF19}" name="FY2025" dataDxfId="76"/>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B241105-A4F1-4B0B-931C-2DB7ED487262}" name="Table2" displayName="Table2" ref="A1:C9" totalsRowShown="0" headerRowDxfId="75">
  <autoFilter ref="A1:C9" xr:uid="{3B241105-A4F1-4B0B-931C-2DB7ED487262}"/>
  <tableColumns count="3">
    <tableColumn id="1" xr3:uid="{7D08E61C-F4CE-4D31-9F94-C8241F4DD09A}" name="Year" dataDxfId="74"/>
    <tableColumn id="2" xr3:uid="{35D9C359-A942-4AF5-845D-5FCE52A931E5}" name="Revenue" dataDxfId="73">
      <calculatedColumnFormula>B1*(1+C2)</calculatedColumnFormula>
    </tableColumn>
    <tableColumn id="3" xr3:uid="{F665C1F6-DD48-4356-AC81-4445B524377B}" name="Growth %" dataDxfId="72"/>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DE3D639-166E-4C81-B4B8-DE93AF4D10A4}" name="Table3" displayName="Table3" ref="A1:F8" totalsRowShown="0" headerRowDxfId="71" dataDxfId="70">
  <autoFilter ref="A1:F8" xr:uid="{CDE3D639-166E-4C81-B4B8-DE93AF4D10A4}"/>
  <tableColumns count="6">
    <tableColumn id="1" xr3:uid="{246AA52D-89B7-40CA-BF9E-CCB323257F87}" name="Year" dataDxfId="69"/>
    <tableColumn id="2" xr3:uid="{4E36AE24-4B20-4480-98DD-9766B228FBA0}" name="FY2026" dataDxfId="68"/>
    <tableColumn id="3" xr3:uid="{409D7159-FAB9-4484-A34C-AFE89577BF76}" name="FY2027" dataDxfId="67"/>
    <tableColumn id="4" xr3:uid="{FCF73298-2C9E-4439-9E0D-45120EC437B2}" name="FY2028" dataDxfId="66"/>
    <tableColumn id="5" xr3:uid="{E0269DA0-E50A-480F-9A38-35F216380EA1}" name="FY2029" dataDxfId="65"/>
    <tableColumn id="6" xr3:uid="{76D7C70B-0129-4214-98A6-D31D0BC0E79E}" name="FY2030" dataDxfId="64"/>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76E9B4D-2FA3-4FAF-8E4B-F271C746B32D}" name="Table4" displayName="Table4" ref="A1:F6" totalsRowShown="0" headerRowDxfId="63" dataDxfId="62">
  <autoFilter ref="A1:F6" xr:uid="{A76E9B4D-2FA3-4FAF-8E4B-F271C746B32D}"/>
  <tableColumns count="6">
    <tableColumn id="1" xr3:uid="{C1C752AE-EA57-4D0C-BA22-15218CA0E8D8}" name="Line Item" dataDxfId="61"/>
    <tableColumn id="2" xr3:uid="{557AC687-F006-4F9F-AEFB-CF88B4030FED}" name="FY2026" dataDxfId="60"/>
    <tableColumn id="3" xr3:uid="{94B4DD7B-5C2B-4B56-B6F4-19566029979A}" name="FY2027" dataDxfId="59"/>
    <tableColumn id="4" xr3:uid="{1D783321-B54B-4775-925B-EA213BE0474B}" name="FY2028" dataDxfId="58"/>
    <tableColumn id="5" xr3:uid="{CB843B1E-3C42-46B2-A4EC-F61400B369C3}" name="FY2029" dataDxfId="57"/>
    <tableColumn id="6" xr3:uid="{E4DBF67F-9340-4B08-9DF7-CCEC8A86AC97}" name="FY2030" dataDxfId="56"/>
  </tableColumns>
  <tableStyleInfo name="TableStyleLight2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79B3002-F8D6-41AB-93C1-6F9BAB5FAD1A}" name="Table5" displayName="Table5" ref="A1:F5" totalsRowShown="0" headerRowDxfId="55" dataDxfId="54">
  <autoFilter ref="A1:F5" xr:uid="{579B3002-F8D6-41AB-93C1-6F9BAB5FAD1A}"/>
  <tableColumns count="6">
    <tableColumn id="1" xr3:uid="{1A07653E-C170-4667-8F29-C311B93220FF}" name="Year" dataDxfId="53"/>
    <tableColumn id="2" xr3:uid="{93D744B4-BD60-425E-80F4-E9EC70711F31}" name="FY2026"/>
    <tableColumn id="3" xr3:uid="{1BC5D2CC-2F3F-443B-AAB0-0BE2E4E7BC56}" name="FY2027"/>
    <tableColumn id="4" xr3:uid="{9F2A8063-66FA-40EC-A112-3BC7F2561953}" name="FY2028" dataDxfId="52"/>
    <tableColumn id="5" xr3:uid="{D7E5D9D2-4FBA-41D3-B8F9-30DAD026E0F9}" name="FY2029" dataDxfId="51"/>
    <tableColumn id="6" xr3:uid="{C0AFC57B-5F1E-4B97-9473-D9D7B7194A5C}" name="FY2030" dataDxfId="50"/>
  </tableColumns>
  <tableStyleInfo name="TableStyleLight2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E11BA6C-51A1-496A-AF5C-30E573DBBA70}" name="Table6" displayName="Table6" ref="A1:F5" totalsRowShown="0" headerRowDxfId="49" dataDxfId="48">
  <autoFilter ref="A1:F5" xr:uid="{3E11BA6C-51A1-496A-AF5C-30E573DBBA70}"/>
  <tableColumns count="6">
    <tableColumn id="1" xr3:uid="{AC438D26-0B3A-42C8-8C63-7129393F8309}" name="Year" dataDxfId="47"/>
    <tableColumn id="2" xr3:uid="{163DFE4F-3ACB-4EB7-BFDD-1E77E6520583}" name="FY2026"/>
    <tableColumn id="3" xr3:uid="{4CF664B8-19DB-43FB-9A9B-E168FC6C3382}" name="FY2027"/>
    <tableColumn id="4" xr3:uid="{25DE179C-7D99-4B50-B441-00812C87699D}" name="FY2028" dataDxfId="46"/>
    <tableColumn id="5" xr3:uid="{B1A9C4EB-9AC6-40F6-BCD2-0DE5A68BF120}" name="FY2029" dataDxfId="45"/>
    <tableColumn id="6" xr3:uid="{5B2845D7-20D5-4450-8872-16870A128DC3}" name="FY2030" dataDxfId="44"/>
  </tableColumns>
  <tableStyleInfo name="TableStyleLight2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0850036-7457-40E2-95B0-841C189018A1}" name="Table7" displayName="Table7" ref="A1:F5" totalsRowShown="0" headerRowDxfId="43" dataDxfId="42">
  <autoFilter ref="A1:F5" xr:uid="{70850036-7457-40E2-95B0-841C189018A1}"/>
  <tableColumns count="6">
    <tableColumn id="1" xr3:uid="{A4082358-9DF1-4363-818F-2889FB504FD0}" name="Year" dataDxfId="41"/>
    <tableColumn id="2" xr3:uid="{DF339A4C-2048-4CB8-AAC1-000A508B625F}" name="FY2026"/>
    <tableColumn id="3" xr3:uid="{FA8650AD-361E-4C55-9643-37F48045CDAB}" name="FY2027"/>
    <tableColumn id="4" xr3:uid="{AA1682DB-220B-436C-8CE3-E6F1AB3D52A2}" name="FY2028" dataDxfId="40"/>
    <tableColumn id="5" xr3:uid="{8CF2F1B2-C2DA-41BE-B5D8-31164DAB58A1}" name="FY2029" dataDxfId="39"/>
    <tableColumn id="6" xr3:uid="{A75B3471-29A8-48AC-B530-5C0A1D22551B}" name="FY2030" dataDxfId="38"/>
  </tableColumns>
  <tableStyleInfo name="TableStyleLight2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B34986C-C008-46A4-BEAB-E626F1FDB031}" name="Table8" displayName="Table8" ref="A1:F5" totalsRowShown="0" headerRowDxfId="37" dataDxfId="36">
  <autoFilter ref="A1:F5" xr:uid="{8B34986C-C008-46A4-BEAB-E626F1FDB031}"/>
  <tableColumns count="6">
    <tableColumn id="1" xr3:uid="{7EC18D59-9527-4B0B-BCE5-0BC45AF8D269}" name="Year" dataDxfId="35"/>
    <tableColumn id="2" xr3:uid="{F46ABB61-6AD5-459B-AED1-E3D77F35BE8C}" name="FY2026"/>
    <tableColumn id="3" xr3:uid="{5C6C5215-82E7-4870-B0AD-52DB9300A43B}" name="FY2027"/>
    <tableColumn id="4" xr3:uid="{A8407749-3270-4B82-B33C-97C9F6C7FC9E}" name="FY2028" dataDxfId="34"/>
    <tableColumn id="5" xr3:uid="{BA868739-CA7A-48AA-835C-89DC45E53422}" name="FY2029" dataDxfId="33"/>
    <tableColumn id="6" xr3:uid="{AAB672D5-B221-413B-85F9-45FDF809E88F}" name="FY2030" dataDxfId="32"/>
  </tableColumns>
  <tableStyleInfo name="TableStyleLight2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7809A59-029D-4D02-906B-651D84082B15}" name="Table9" displayName="Table9" ref="A4:F8" totalsRowShown="0" headerRowDxfId="31" dataDxfId="30">
  <autoFilter ref="A4:F8" xr:uid="{17809A59-029D-4D02-906B-651D84082B15}"/>
  <tableColumns count="6">
    <tableColumn id="1" xr3:uid="{D1F95688-905F-4D79-B0D3-BDF19ACB150F}" name="Year" dataDxfId="29"/>
    <tableColumn id="2" xr3:uid="{D485803C-BDEF-439E-BD17-525B92ABE60E}" name="FY2026" dataDxfId="28"/>
    <tableColumn id="3" xr3:uid="{50449B4D-9495-43A1-A8D9-F3D7BB3F97B9}" name="FY2027" dataDxfId="27"/>
    <tableColumn id="4" xr3:uid="{CE7C72DF-098C-4FEC-9CD1-73626F670EBC}" name="FY2028" dataDxfId="26"/>
    <tableColumn id="5" xr3:uid="{A8E81664-9A27-4E12-BDD7-6F50FF6F5F7B}" name="FY2029" dataDxfId="25"/>
    <tableColumn id="6" xr3:uid="{8E5D322E-D19D-4D92-AD38-4A627AB0AB8B}" name="FY2030" dataDxfId="24"/>
  </tableColumns>
  <tableStyleInfo name="TableStyleLight2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1E2009F-534E-44D0-B53D-019D643E8C15}" name="Table10" displayName="Table10" ref="A4:F8" totalsRowShown="0" headerRowDxfId="23" dataDxfId="22">
  <autoFilter ref="A4:F8" xr:uid="{C1E2009F-534E-44D0-B53D-019D643E8C15}"/>
  <tableColumns count="6">
    <tableColumn id="1" xr3:uid="{2F4382D1-A35D-4234-9CED-A7C74CC620A5}" name="Year" dataDxfId="21"/>
    <tableColumn id="2" xr3:uid="{073B77A7-9198-4AC5-B21B-3DB811E35B35}" name="FY2026" dataDxfId="20"/>
    <tableColumn id="3" xr3:uid="{12A769AE-1483-4F6C-9C7C-F5486E61A4DB}" name="FY2027" dataDxfId="19"/>
    <tableColumn id="4" xr3:uid="{304B4DB2-2B97-4388-9883-F21376520127}" name="FY2028" dataDxfId="18"/>
    <tableColumn id="5" xr3:uid="{12B45D8C-8DFD-4826-B77F-8B37A8A13BDC}" name="FY2029" dataDxfId="17"/>
    <tableColumn id="6" xr3:uid="{44F9C673-886B-486D-86CB-E328C7CDC1FE}" name="FY2030" dataDxfId="16"/>
  </tableColumns>
  <tableStyleInfo name="TableStyleLight2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15FCAA6-41E7-4EBA-97AA-9A9AD4D8640F}" name="Table11" displayName="Table11" ref="A4:F8" totalsRowShown="0" headerRowDxfId="15" dataDxfId="14">
  <autoFilter ref="A4:F8" xr:uid="{F15FCAA6-41E7-4EBA-97AA-9A9AD4D8640F}"/>
  <tableColumns count="6">
    <tableColumn id="1" xr3:uid="{5B84182B-5BF8-4BFF-BD30-3613EEFB38D8}" name="Year" dataDxfId="13"/>
    <tableColumn id="2" xr3:uid="{5576BC85-31E3-4EF9-8E0F-7320DDFBD43B}" name="FY2026" dataDxfId="12"/>
    <tableColumn id="3" xr3:uid="{7AB1223D-DEA2-4C1F-939B-024672606ADE}" name="FY2027" dataDxfId="11"/>
    <tableColumn id="4" xr3:uid="{B7C4FC47-6507-4172-A82F-9B67B3013E0C}" name="FY2028" dataDxfId="10"/>
    <tableColumn id="5" xr3:uid="{5A55AA6A-D474-42F3-9C8C-768CE08B6355}" name="FY2029" dataDxfId="9"/>
    <tableColumn id="6" xr3:uid="{D832D2DA-17E8-4308-A25A-864F38AFB59A}" name="FY2030" dataDxfId="8"/>
  </tableColumns>
  <tableStyleInfo name="TableStyleLight2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478B13E-767F-4384-A786-ADA61E0E87B0}" name="Table12" displayName="Table12" ref="A4:F8" totalsRowShown="0" headerRowDxfId="7" dataDxfId="6">
  <autoFilter ref="A4:F8" xr:uid="{4478B13E-767F-4384-A786-ADA61E0E87B0}"/>
  <tableColumns count="6">
    <tableColumn id="1" xr3:uid="{C4855394-6724-4666-A822-5DC2A9335737}" name="Year" dataDxfId="5"/>
    <tableColumn id="2" xr3:uid="{91B0E7F1-AED3-478D-944E-305C8B877DCF}" name="FY2026" dataDxfId="4"/>
    <tableColumn id="3" xr3:uid="{8174F22C-80C9-4C50-9BB1-4423758A57A0}" name="FY2027" dataDxfId="3"/>
    <tableColumn id="4" xr3:uid="{08A3E8F2-7347-4498-AE24-1713C6D577C1}" name="FY2028" dataDxfId="2"/>
    <tableColumn id="5" xr3:uid="{4908573F-8AFE-4CDD-9D36-C2D564CA46D9}" name="FY2029" dataDxfId="1"/>
    <tableColumn id="6" xr3:uid="{EEEE4C6B-9708-43B1-9227-69399C7FD060}" name="FY2030" dataDxfId="0"/>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9"/>
  <sheetViews>
    <sheetView workbookViewId="0">
      <selection activeCell="A10" sqref="A10"/>
    </sheetView>
  </sheetViews>
  <sheetFormatPr defaultRowHeight="15"/>
  <cols>
    <col min="1" max="1" width="54.7109375" customWidth="1"/>
  </cols>
  <sheetData>
    <row r="1" spans="1:1" ht="68.25">
      <c r="A1" s="5" t="s">
        <v>0</v>
      </c>
    </row>
    <row r="2" spans="1:1">
      <c r="A2" s="4"/>
    </row>
    <row r="3" spans="1:1">
      <c r="A3" s="2" t="s">
        <v>1</v>
      </c>
    </row>
    <row r="4" spans="1:1">
      <c r="A4" s="2" t="s">
        <v>2</v>
      </c>
    </row>
    <row r="5" spans="1:1">
      <c r="A5" s="2" t="s">
        <v>3</v>
      </c>
    </row>
    <row r="6" spans="1:1">
      <c r="A6" s="2" t="s">
        <v>4</v>
      </c>
    </row>
    <row r="7" spans="1:1">
      <c r="A7" s="2" t="s">
        <v>5</v>
      </c>
    </row>
    <row r="8" spans="1:1" ht="29.25">
      <c r="A8" s="1" t="s">
        <v>6</v>
      </c>
    </row>
    <row r="9" spans="1:1">
      <c r="A9" s="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A9B00-24AF-466C-803C-E2C59DA478D5}">
  <dimension ref="A1:D12"/>
  <sheetViews>
    <sheetView workbookViewId="0">
      <selection activeCell="F14" sqref="F14"/>
    </sheetView>
  </sheetViews>
  <sheetFormatPr defaultRowHeight="15"/>
  <cols>
    <col min="1" max="1" width="26.140625" bestFit="1" customWidth="1"/>
    <col min="2" max="4" width="9.7109375" bestFit="1" customWidth="1"/>
  </cols>
  <sheetData>
    <row r="1" spans="1:4">
      <c r="A1" s="2" t="s">
        <v>8</v>
      </c>
      <c r="B1" s="2" t="s">
        <v>9</v>
      </c>
      <c r="C1" s="2" t="s">
        <v>10</v>
      </c>
      <c r="D1" s="2" t="s">
        <v>11</v>
      </c>
    </row>
    <row r="2" spans="1:4">
      <c r="A2" s="2" t="s">
        <v>12</v>
      </c>
      <c r="B2" s="2">
        <v>219530</v>
      </c>
      <c r="C2" s="2">
        <v>246082</v>
      </c>
      <c r="D2" s="2">
        <v>256682</v>
      </c>
    </row>
    <row r="3" spans="1:4">
      <c r="A3" s="2" t="s">
        <v>13</v>
      </c>
      <c r="B3" s="2">
        <v>12344</v>
      </c>
      <c r="C3" s="2">
        <v>13156</v>
      </c>
      <c r="D3" s="2">
        <v>14943</v>
      </c>
    </row>
    <row r="4" spans="1:4">
      <c r="A4" s="2" t="s">
        <v>14</v>
      </c>
      <c r="B4" s="2">
        <v>6320</v>
      </c>
      <c r="C4" s="2">
        <v>6543</v>
      </c>
      <c r="D4" s="2">
        <v>7392</v>
      </c>
    </row>
    <row r="5" spans="1:4">
      <c r="A5" s="2" t="s">
        <v>15</v>
      </c>
      <c r="B5" s="2">
        <v>9831</v>
      </c>
      <c r="C5" s="2">
        <v>13841</v>
      </c>
      <c r="D5" s="2">
        <v>10984</v>
      </c>
    </row>
    <row r="6" spans="1:4">
      <c r="A6" s="2" t="s">
        <v>16</v>
      </c>
      <c r="B6" s="2">
        <v>9831</v>
      </c>
      <c r="C6" s="2">
        <v>13841</v>
      </c>
      <c r="D6" s="2">
        <v>10984</v>
      </c>
    </row>
    <row r="7" spans="1:4">
      <c r="A7" s="2" t="s">
        <v>17</v>
      </c>
      <c r="B7" s="2">
        <v>102356</v>
      </c>
      <c r="C7" s="2">
        <v>112328</v>
      </c>
      <c r="D7" s="2">
        <v>124944</v>
      </c>
    </row>
    <row r="8" spans="1:4">
      <c r="A8" s="2" t="s">
        <v>18</v>
      </c>
      <c r="B8" s="2">
        <v>26278</v>
      </c>
      <c r="C8" s="2">
        <v>27724</v>
      </c>
      <c r="D8" s="2">
        <v>30117</v>
      </c>
    </row>
    <row r="9" spans="1:4">
      <c r="A9" s="2" t="s">
        <v>19</v>
      </c>
      <c r="B9" s="2">
        <v>76078</v>
      </c>
      <c r="C9" s="2">
        <v>84604</v>
      </c>
      <c r="D9" s="2">
        <v>94827</v>
      </c>
    </row>
    <row r="10" spans="1:4">
      <c r="A10" s="2" t="s">
        <v>20</v>
      </c>
      <c r="B10" s="6">
        <v>12548</v>
      </c>
      <c r="C10" s="6">
        <v>11732</v>
      </c>
      <c r="D10" s="6">
        <v>9946</v>
      </c>
    </row>
    <row r="11" spans="1:4">
      <c r="A11" s="2" t="s">
        <v>21</v>
      </c>
      <c r="B11" s="6">
        <v>6368</v>
      </c>
      <c r="C11" s="6">
        <v>5993</v>
      </c>
      <c r="D11" s="6">
        <v>6993</v>
      </c>
    </row>
    <row r="12" spans="1:4">
      <c r="A12" s="2" t="s">
        <v>22</v>
      </c>
      <c r="B12" s="2"/>
      <c r="C12" s="2"/>
      <c r="D12" s="2">
        <v>591.34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AF129-51A5-4E6F-B153-C50D0AFA9A11}">
  <dimension ref="A1:C18"/>
  <sheetViews>
    <sheetView workbookViewId="0">
      <selection activeCell="D11" sqref="D11"/>
    </sheetView>
  </sheetViews>
  <sheetFormatPr defaultRowHeight="15"/>
  <cols>
    <col min="1" max="1" width="26.140625" bestFit="1" customWidth="1"/>
  </cols>
  <sheetData>
    <row r="1" spans="1:3">
      <c r="A1" s="8" t="s">
        <v>23</v>
      </c>
      <c r="B1" s="8" t="s">
        <v>24</v>
      </c>
      <c r="C1" s="8" t="s">
        <v>25</v>
      </c>
    </row>
    <row r="2" spans="1:3">
      <c r="A2" s="2" t="s">
        <v>26</v>
      </c>
      <c r="B2" s="7">
        <v>0.08</v>
      </c>
      <c r="C2" s="2"/>
    </row>
    <row r="3" spans="1:3">
      <c r="A3" s="2" t="s">
        <v>27</v>
      </c>
      <c r="B3" s="7">
        <v>7.0000000000000007E-2</v>
      </c>
      <c r="C3" s="2"/>
    </row>
    <row r="4" spans="1:3">
      <c r="A4" s="2" t="s">
        <v>28</v>
      </c>
      <c r="B4" s="7">
        <v>0.06</v>
      </c>
      <c r="C4" s="2"/>
    </row>
    <row r="5" spans="1:3">
      <c r="A5" s="2" t="s">
        <v>29</v>
      </c>
      <c r="B5" s="7">
        <v>0.05</v>
      </c>
      <c r="C5" s="2"/>
    </row>
    <row r="6" spans="1:3">
      <c r="A6" s="2" t="s">
        <v>30</v>
      </c>
      <c r="B6" s="7">
        <v>0.05</v>
      </c>
      <c r="C6" s="2"/>
    </row>
    <row r="7" spans="1:3">
      <c r="A7" s="2"/>
      <c r="B7" s="7"/>
      <c r="C7" s="2"/>
    </row>
    <row r="8" spans="1:3">
      <c r="A8" s="2" t="s">
        <v>31</v>
      </c>
      <c r="B8" s="7">
        <v>5.8000000000000003E-2</v>
      </c>
      <c r="C8" s="2"/>
    </row>
    <row r="9" spans="1:3">
      <c r="A9" s="2" t="s">
        <v>32</v>
      </c>
      <c r="B9" s="7">
        <v>0.27</v>
      </c>
      <c r="C9" s="2"/>
    </row>
    <row r="10" spans="1:3">
      <c r="A10" s="2"/>
      <c r="B10" s="7"/>
      <c r="C10" s="2"/>
    </row>
    <row r="11" spans="1:3">
      <c r="A11" s="2" t="s">
        <v>33</v>
      </c>
      <c r="B11" s="7">
        <v>0.05</v>
      </c>
      <c r="C11" s="2"/>
    </row>
    <row r="12" spans="1:3">
      <c r="A12" s="2" t="s">
        <v>34</v>
      </c>
      <c r="B12" s="7">
        <v>3.5000000000000003E-2</v>
      </c>
      <c r="C12" s="2"/>
    </row>
    <row r="13" spans="1:3">
      <c r="A13" s="2"/>
      <c r="B13" s="7"/>
      <c r="C13" s="2"/>
    </row>
    <row r="14" spans="1:3">
      <c r="A14" s="2" t="s">
        <v>35</v>
      </c>
      <c r="B14" s="7">
        <v>0.13</v>
      </c>
      <c r="C14" s="2"/>
    </row>
    <row r="15" spans="1:3">
      <c r="A15" s="2" t="s">
        <v>36</v>
      </c>
      <c r="B15" s="7">
        <v>2.5000000000000001E-2</v>
      </c>
      <c r="C15" s="2"/>
    </row>
    <row r="16" spans="1:3">
      <c r="A16" s="2" t="s">
        <v>37</v>
      </c>
      <c r="B16" s="2">
        <v>5</v>
      </c>
      <c r="C16" s="2"/>
    </row>
    <row r="17" spans="1:3">
      <c r="A17" s="2"/>
      <c r="B17" s="2"/>
      <c r="C17" s="2"/>
    </row>
    <row r="18" spans="1:3">
      <c r="A18" s="2" t="s">
        <v>22</v>
      </c>
      <c r="B18" s="2">
        <v>591.34</v>
      </c>
      <c r="C18"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46E5F-EFF8-4981-995A-E906841C13E8}">
  <dimension ref="A1:C18"/>
  <sheetViews>
    <sheetView workbookViewId="0">
      <selection activeCell="D5" sqref="D5"/>
    </sheetView>
  </sheetViews>
  <sheetFormatPr defaultRowHeight="15"/>
  <cols>
    <col min="1" max="1" width="26.140625" bestFit="1" customWidth="1"/>
  </cols>
  <sheetData>
    <row r="1" spans="1:3">
      <c r="A1" s="8" t="s">
        <v>23</v>
      </c>
      <c r="B1" s="8" t="s">
        <v>24</v>
      </c>
      <c r="C1" s="8" t="s">
        <v>25</v>
      </c>
    </row>
    <row r="2" spans="1:3">
      <c r="A2" s="2" t="s">
        <v>26</v>
      </c>
      <c r="B2" s="7">
        <v>0.08</v>
      </c>
      <c r="C2" s="2"/>
    </row>
    <row r="3" spans="1:3">
      <c r="A3" s="2" t="s">
        <v>27</v>
      </c>
      <c r="B3" s="7">
        <v>7.0000000000000007E-2</v>
      </c>
      <c r="C3" s="2"/>
    </row>
    <row r="4" spans="1:3">
      <c r="A4" s="2" t="s">
        <v>28</v>
      </c>
      <c r="B4" s="7">
        <v>0.06</v>
      </c>
      <c r="C4" s="2"/>
    </row>
    <row r="5" spans="1:3">
      <c r="A5" s="2" t="s">
        <v>29</v>
      </c>
      <c r="B5" s="7">
        <v>0.05</v>
      </c>
      <c r="C5" s="2"/>
    </row>
    <row r="6" spans="1:3">
      <c r="A6" s="2" t="s">
        <v>30</v>
      </c>
      <c r="B6" s="7">
        <v>0.05</v>
      </c>
      <c r="C6" s="2"/>
    </row>
    <row r="7" spans="1:3">
      <c r="A7" s="2"/>
      <c r="B7" s="7"/>
      <c r="C7" s="2"/>
    </row>
    <row r="8" spans="1:3">
      <c r="A8" s="2" t="s">
        <v>31</v>
      </c>
      <c r="B8" s="7">
        <v>5.8000000000000003E-2</v>
      </c>
      <c r="C8" s="2"/>
    </row>
    <row r="9" spans="1:3">
      <c r="A9" s="2" t="s">
        <v>32</v>
      </c>
      <c r="B9" s="7">
        <v>0.27</v>
      </c>
      <c r="C9" s="2"/>
    </row>
    <row r="10" spans="1:3">
      <c r="A10" s="2"/>
      <c r="B10" s="7"/>
      <c r="C10" s="2"/>
    </row>
    <row r="11" spans="1:3">
      <c r="A11" s="2" t="s">
        <v>33</v>
      </c>
      <c r="B11" s="7">
        <v>5.5E-2</v>
      </c>
      <c r="C11" s="2"/>
    </row>
    <row r="12" spans="1:3">
      <c r="A12" s="2" t="s">
        <v>34</v>
      </c>
      <c r="B12" s="7">
        <v>0.03</v>
      </c>
      <c r="C12" s="2"/>
    </row>
    <row r="13" spans="1:3">
      <c r="A13" s="2"/>
      <c r="B13" s="7"/>
      <c r="C13" s="2"/>
    </row>
    <row r="14" spans="1:3">
      <c r="A14" s="2" t="s">
        <v>35</v>
      </c>
      <c r="B14" s="7">
        <v>0.12</v>
      </c>
      <c r="C14" s="2"/>
    </row>
    <row r="15" spans="1:3">
      <c r="A15" s="2" t="s">
        <v>36</v>
      </c>
      <c r="B15" s="7">
        <v>0.03</v>
      </c>
      <c r="C15" s="2"/>
    </row>
    <row r="16" spans="1:3">
      <c r="A16" s="2" t="s">
        <v>37</v>
      </c>
      <c r="B16" s="2">
        <v>5</v>
      </c>
      <c r="C16" s="2"/>
    </row>
    <row r="17" spans="1:3">
      <c r="A17" s="2"/>
      <c r="B17" s="2"/>
      <c r="C17" s="2"/>
    </row>
    <row r="18" spans="1:3">
      <c r="A18" s="2" t="s">
        <v>22</v>
      </c>
      <c r="B18" s="2">
        <v>591.34</v>
      </c>
      <c r="C18"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0D028-C081-49A4-B4F2-3B1A3DB669F3}">
  <dimension ref="A1:C18"/>
  <sheetViews>
    <sheetView workbookViewId="0">
      <selection activeCell="D5" sqref="D5"/>
    </sheetView>
  </sheetViews>
  <sheetFormatPr defaultRowHeight="15"/>
  <cols>
    <col min="1" max="1" width="26.140625" bestFit="1" customWidth="1"/>
  </cols>
  <sheetData>
    <row r="1" spans="1:3">
      <c r="A1" s="8" t="s">
        <v>23</v>
      </c>
      <c r="B1" s="8" t="s">
        <v>24</v>
      </c>
      <c r="C1" s="8" t="s">
        <v>25</v>
      </c>
    </row>
    <row r="2" spans="1:3">
      <c r="A2" s="2" t="s">
        <v>26</v>
      </c>
      <c r="B2" s="7">
        <v>0.08</v>
      </c>
      <c r="C2" s="2"/>
    </row>
    <row r="3" spans="1:3">
      <c r="A3" s="2" t="s">
        <v>27</v>
      </c>
      <c r="B3" s="7">
        <v>7.0000000000000007E-2</v>
      </c>
      <c r="C3" s="2"/>
    </row>
    <row r="4" spans="1:3">
      <c r="A4" s="2" t="s">
        <v>28</v>
      </c>
      <c r="B4" s="7">
        <v>0.06</v>
      </c>
      <c r="C4" s="2"/>
    </row>
    <row r="5" spans="1:3">
      <c r="A5" s="2" t="s">
        <v>29</v>
      </c>
      <c r="B5" s="7">
        <v>0.05</v>
      </c>
      <c r="C5" s="2"/>
    </row>
    <row r="6" spans="1:3">
      <c r="A6" s="2" t="s">
        <v>30</v>
      </c>
      <c r="B6" s="7">
        <v>0.05</v>
      </c>
      <c r="C6" s="2"/>
    </row>
    <row r="7" spans="1:3">
      <c r="A7" s="2"/>
      <c r="B7" s="7"/>
      <c r="C7" s="2"/>
    </row>
    <row r="8" spans="1:3">
      <c r="A8" s="2" t="s">
        <v>31</v>
      </c>
      <c r="B8" s="7">
        <v>5.8000000000000003E-2</v>
      </c>
      <c r="C8" s="2"/>
    </row>
    <row r="9" spans="1:3">
      <c r="A9" s="2" t="s">
        <v>32</v>
      </c>
      <c r="B9" s="7">
        <v>0.27</v>
      </c>
      <c r="C9" s="2"/>
    </row>
    <row r="10" spans="1:3">
      <c r="A10" s="2"/>
      <c r="B10" s="7"/>
      <c r="C10" s="2"/>
    </row>
    <row r="11" spans="1:3">
      <c r="A11" s="2" t="s">
        <v>33</v>
      </c>
      <c r="B11" s="7">
        <v>0.06</v>
      </c>
      <c r="C11" s="2"/>
    </row>
    <row r="12" spans="1:3">
      <c r="A12" s="2" t="s">
        <v>34</v>
      </c>
      <c r="B12" s="7">
        <v>2.8000000000000001E-2</v>
      </c>
      <c r="C12" s="2"/>
    </row>
    <row r="13" spans="1:3">
      <c r="A13" s="2"/>
      <c r="B13" s="7"/>
      <c r="C13" s="2"/>
    </row>
    <row r="14" spans="1:3">
      <c r="A14" s="2" t="s">
        <v>35</v>
      </c>
      <c r="B14" s="7">
        <v>0.11</v>
      </c>
      <c r="C14" s="2"/>
    </row>
    <row r="15" spans="1:3">
      <c r="A15" s="2" t="s">
        <v>36</v>
      </c>
      <c r="B15" s="7">
        <v>3.5000000000000003E-2</v>
      </c>
      <c r="C15" s="2"/>
    </row>
    <row r="16" spans="1:3">
      <c r="A16" s="2" t="s">
        <v>37</v>
      </c>
      <c r="B16" s="2">
        <v>5</v>
      </c>
      <c r="C16" s="2"/>
    </row>
    <row r="17" spans="1:3">
      <c r="A17" s="2"/>
      <c r="B17" s="2"/>
      <c r="C17" s="2"/>
    </row>
    <row r="18" spans="1:3">
      <c r="A18" s="2" t="s">
        <v>22</v>
      </c>
      <c r="B18" s="2">
        <v>591.34</v>
      </c>
      <c r="C18"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D37FB-7A1C-46F1-9EDC-43C353D87176}">
  <dimension ref="A1:C18"/>
  <sheetViews>
    <sheetView workbookViewId="0">
      <selection activeCell="E9" sqref="E9"/>
    </sheetView>
  </sheetViews>
  <sheetFormatPr defaultRowHeight="15"/>
  <cols>
    <col min="1" max="1" width="26.140625" bestFit="1" customWidth="1"/>
  </cols>
  <sheetData>
    <row r="1" spans="1:3">
      <c r="A1" s="8" t="s">
        <v>23</v>
      </c>
      <c r="B1" s="8" t="s">
        <v>24</v>
      </c>
      <c r="C1" s="8" t="s">
        <v>25</v>
      </c>
    </row>
    <row r="2" spans="1:3">
      <c r="A2" s="2" t="s">
        <v>26</v>
      </c>
      <c r="B2" s="7">
        <v>0.08</v>
      </c>
      <c r="C2" s="2"/>
    </row>
    <row r="3" spans="1:3">
      <c r="A3" s="2" t="s">
        <v>27</v>
      </c>
      <c r="B3" s="7">
        <v>7.0000000000000007E-2</v>
      </c>
      <c r="C3" s="2"/>
    </row>
    <row r="4" spans="1:3">
      <c r="A4" s="2" t="s">
        <v>28</v>
      </c>
      <c r="B4" s="7">
        <v>0.06</v>
      </c>
      <c r="C4" s="2"/>
    </row>
    <row r="5" spans="1:3">
      <c r="A5" s="2" t="s">
        <v>29</v>
      </c>
      <c r="B5" s="7">
        <v>0.05</v>
      </c>
      <c r="C5" s="2"/>
    </row>
    <row r="6" spans="1:3">
      <c r="A6" s="2" t="s">
        <v>30</v>
      </c>
      <c r="B6" s="7">
        <v>0.05</v>
      </c>
      <c r="C6" s="2"/>
    </row>
    <row r="7" spans="1:3">
      <c r="A7" s="2"/>
      <c r="B7" s="7"/>
      <c r="C7" s="2"/>
    </row>
    <row r="8" spans="1:3">
      <c r="A8" s="2" t="s">
        <v>31</v>
      </c>
      <c r="B8" s="7">
        <v>5.8000000000000003E-2</v>
      </c>
      <c r="C8" s="2"/>
    </row>
    <row r="9" spans="1:3">
      <c r="A9" s="2" t="s">
        <v>32</v>
      </c>
      <c r="B9" s="7">
        <v>0.27</v>
      </c>
      <c r="C9" s="2"/>
    </row>
    <row r="10" spans="1:3">
      <c r="A10" s="2"/>
      <c r="B10" s="7"/>
      <c r="C10" s="2"/>
    </row>
    <row r="11" spans="1:3">
      <c r="A11" s="2" t="s">
        <v>33</v>
      </c>
      <c r="B11" s="7">
        <v>4.4999999999999998E-2</v>
      </c>
      <c r="C11" s="2"/>
    </row>
    <row r="12" spans="1:3">
      <c r="A12" s="2" t="s">
        <v>34</v>
      </c>
      <c r="B12" s="7">
        <v>0.04</v>
      </c>
      <c r="C12" s="2"/>
    </row>
    <row r="13" spans="1:3">
      <c r="A13" s="2"/>
      <c r="B13" s="7"/>
      <c r="C13" s="2"/>
    </row>
    <row r="14" spans="1:3">
      <c r="A14" s="2" t="s">
        <v>35</v>
      </c>
      <c r="B14" s="7">
        <v>0.12</v>
      </c>
      <c r="C14" s="2"/>
    </row>
    <row r="15" spans="1:3">
      <c r="A15" s="2" t="s">
        <v>36</v>
      </c>
      <c r="B15" s="7">
        <v>0.03</v>
      </c>
      <c r="C15" s="2"/>
    </row>
    <row r="16" spans="1:3">
      <c r="A16" s="2" t="s">
        <v>37</v>
      </c>
      <c r="B16" s="2">
        <v>5</v>
      </c>
      <c r="C16" s="2"/>
    </row>
    <row r="17" spans="1:3">
      <c r="A17" s="2"/>
      <c r="B17" s="2"/>
      <c r="C17" s="2"/>
    </row>
    <row r="18" spans="1:3">
      <c r="A18" s="2" t="s">
        <v>22</v>
      </c>
      <c r="B18" s="2">
        <v>591.34</v>
      </c>
      <c r="C18"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218D9-44CD-4861-B5E0-2458DE4BAB3E}">
  <dimension ref="A1:C9"/>
  <sheetViews>
    <sheetView workbookViewId="0">
      <selection activeCell="E9" sqref="E9"/>
    </sheetView>
  </sheetViews>
  <sheetFormatPr defaultRowHeight="15"/>
  <cols>
    <col min="2" max="2" width="10.85546875" bestFit="1" customWidth="1"/>
    <col min="3" max="3" width="11.5703125" bestFit="1" customWidth="1"/>
  </cols>
  <sheetData>
    <row r="1" spans="1:3">
      <c r="A1" s="2" t="s">
        <v>38</v>
      </c>
      <c r="B1" s="2" t="s">
        <v>12</v>
      </c>
      <c r="C1" s="2" t="s">
        <v>39</v>
      </c>
    </row>
    <row r="2" spans="1:3">
      <c r="A2" s="2" t="s">
        <v>9</v>
      </c>
      <c r="B2" s="2">
        <f>'01_Historical_Input'!B2</f>
        <v>219530</v>
      </c>
      <c r="C2" s="2"/>
    </row>
    <row r="3" spans="1:3">
      <c r="A3" s="2" t="s">
        <v>10</v>
      </c>
      <c r="B3" s="2">
        <f>'01_Historical_Input'!C2</f>
        <v>246082</v>
      </c>
      <c r="C3" s="7">
        <f>(B3/B2)-1</f>
        <v>0.12094930077893684</v>
      </c>
    </row>
    <row r="4" spans="1:3">
      <c r="A4" s="2" t="s">
        <v>11</v>
      </c>
      <c r="B4" s="2">
        <f>'01_Historical_Input'!D2</f>
        <v>256682</v>
      </c>
      <c r="C4" s="7">
        <f>(B4/B3)-1</f>
        <v>4.3075072536796766E-2</v>
      </c>
    </row>
    <row r="5" spans="1:3">
      <c r="A5" s="2" t="s">
        <v>40</v>
      </c>
      <c r="B5" s="9">
        <f>B4*(1+C5)</f>
        <v>277216.56</v>
      </c>
      <c r="C5" s="7">
        <f>'02_Key_Assumptions'!B2</f>
        <v>0.08</v>
      </c>
    </row>
    <row r="6" spans="1:3">
      <c r="A6" s="2" t="s">
        <v>41</v>
      </c>
      <c r="B6" s="9">
        <f t="shared" ref="B6:B9" si="0">B5*(1+C6)</f>
        <v>296621.71919999999</v>
      </c>
      <c r="C6" s="7">
        <f>'02_Key_Assumptions'!B3</f>
        <v>7.0000000000000007E-2</v>
      </c>
    </row>
    <row r="7" spans="1:3">
      <c r="A7" s="2" t="s">
        <v>42</v>
      </c>
      <c r="B7" s="9">
        <f t="shared" si="0"/>
        <v>314419.022352</v>
      </c>
      <c r="C7" s="7">
        <f>'02_Key_Assumptions'!B4</f>
        <v>0.06</v>
      </c>
    </row>
    <row r="8" spans="1:3">
      <c r="A8" s="2" t="s">
        <v>43</v>
      </c>
      <c r="B8" s="9">
        <f t="shared" si="0"/>
        <v>330139.97346960002</v>
      </c>
      <c r="C8" s="7">
        <f>'02_Key_Assumptions'!B5</f>
        <v>0.05</v>
      </c>
    </row>
    <row r="9" spans="1:3">
      <c r="A9" s="2" t="s">
        <v>44</v>
      </c>
      <c r="B9" s="9">
        <f t="shared" si="0"/>
        <v>346646.97214308003</v>
      </c>
      <c r="C9" s="7">
        <f>'02_Key_Assumptions'!B6</f>
        <v>0.05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25E57-6B66-4AAE-83AD-1355E80E2E5A}">
  <dimension ref="A1:F8"/>
  <sheetViews>
    <sheetView workbookViewId="0">
      <selection activeCell="I12" sqref="I12"/>
    </sheetView>
  </sheetViews>
  <sheetFormatPr defaultRowHeight="15"/>
  <cols>
    <col min="1" max="1" width="16.140625" bestFit="1" customWidth="1"/>
    <col min="2" max="6" width="9.7109375" bestFit="1" customWidth="1"/>
  </cols>
  <sheetData>
    <row r="1" spans="1:6">
      <c r="A1" s="2" t="s">
        <v>38</v>
      </c>
      <c r="B1" s="2" t="s">
        <v>40</v>
      </c>
      <c r="C1" s="2" t="s">
        <v>41</v>
      </c>
      <c r="D1" s="2" t="s">
        <v>42</v>
      </c>
      <c r="E1" s="2" t="s">
        <v>43</v>
      </c>
      <c r="F1" s="2" t="s">
        <v>44</v>
      </c>
    </row>
    <row r="2" spans="1:6">
      <c r="A2" s="2" t="s">
        <v>12</v>
      </c>
      <c r="B2" s="9">
        <f>'03_Revenue_Forecast'!B5</f>
        <v>277216.56</v>
      </c>
      <c r="C2" s="9">
        <f>'03_Revenue_Forecast'!B6</f>
        <v>296621.71919999999</v>
      </c>
      <c r="D2" s="9">
        <f>'03_Revenue_Forecast'!B7</f>
        <v>314419.022352</v>
      </c>
      <c r="E2" s="9">
        <f>'03_Revenue_Forecast'!B8</f>
        <v>330139.97346960002</v>
      </c>
      <c r="F2" s="9">
        <f>'03_Revenue_Forecast'!B9</f>
        <v>346646.97214308003</v>
      </c>
    </row>
    <row r="3" spans="1:6">
      <c r="A3" s="2" t="s">
        <v>45</v>
      </c>
      <c r="B3" s="7">
        <f>'02_Key_Assumptions'!$B$8</f>
        <v>5.8000000000000003E-2</v>
      </c>
      <c r="C3" s="7">
        <f>'02_Key_Assumptions'!$B$8</f>
        <v>5.8000000000000003E-2</v>
      </c>
      <c r="D3" s="7">
        <f>'02_Key_Assumptions'!$B$8</f>
        <v>5.8000000000000003E-2</v>
      </c>
      <c r="E3" s="7">
        <f>'02_Key_Assumptions'!$B$8</f>
        <v>5.8000000000000003E-2</v>
      </c>
      <c r="F3" s="7">
        <f>'02_Key_Assumptions'!$B$8</f>
        <v>5.8000000000000003E-2</v>
      </c>
    </row>
    <row r="4" spans="1:6">
      <c r="A4" s="2" t="s">
        <v>13</v>
      </c>
      <c r="B4" s="10">
        <f>B2*B3</f>
        <v>16078.56048</v>
      </c>
      <c r="C4" s="10">
        <f t="shared" ref="C4:F4" si="0">C2*C3</f>
        <v>17204.0597136</v>
      </c>
      <c r="D4" s="10">
        <f t="shared" si="0"/>
        <v>18236.303296416001</v>
      </c>
      <c r="E4" s="10">
        <f t="shared" si="0"/>
        <v>19148.118461236802</v>
      </c>
      <c r="F4" s="10">
        <f t="shared" si="0"/>
        <v>20105.524384298642</v>
      </c>
    </row>
    <row r="5" spans="1:6">
      <c r="A5" s="2" t="s">
        <v>46</v>
      </c>
      <c r="B5" s="7">
        <f>'02_Key_Assumptions'!$B$9</f>
        <v>0.27</v>
      </c>
      <c r="C5" s="7">
        <f>'02_Key_Assumptions'!$B$9</f>
        <v>0.27</v>
      </c>
      <c r="D5" s="7">
        <f>'02_Key_Assumptions'!$B$9</f>
        <v>0.27</v>
      </c>
      <c r="E5" s="7">
        <f>'02_Key_Assumptions'!$B$9</f>
        <v>0.27</v>
      </c>
      <c r="F5" s="7">
        <f>'02_Key_Assumptions'!$B$9</f>
        <v>0.27</v>
      </c>
    </row>
    <row r="6" spans="1:6">
      <c r="A6" s="2" t="s">
        <v>47</v>
      </c>
      <c r="B6" s="10">
        <f>B4*B5</f>
        <v>4341.2113296000007</v>
      </c>
      <c r="C6" s="10">
        <f t="shared" ref="C6:F6" si="1">C4*C5</f>
        <v>4645.0961226720001</v>
      </c>
      <c r="D6" s="10">
        <f t="shared" si="1"/>
        <v>4923.8018900323204</v>
      </c>
      <c r="E6" s="10">
        <f t="shared" si="1"/>
        <v>5169.9919845339364</v>
      </c>
      <c r="F6" s="10">
        <f t="shared" si="1"/>
        <v>5428.4915837606341</v>
      </c>
    </row>
    <row r="7" spans="1:6">
      <c r="A7" s="2" t="s">
        <v>14</v>
      </c>
      <c r="B7" s="10">
        <f>B4-B6</f>
        <v>11737.349150399999</v>
      </c>
      <c r="C7" s="10">
        <f t="shared" ref="C7:F7" si="2">C4-C6</f>
        <v>12558.963590928</v>
      </c>
      <c r="D7" s="10">
        <f t="shared" si="2"/>
        <v>13312.501406383681</v>
      </c>
      <c r="E7" s="10">
        <f t="shared" si="2"/>
        <v>13978.126476702866</v>
      </c>
      <c r="F7" s="10">
        <f t="shared" si="2"/>
        <v>14677.032800538007</v>
      </c>
    </row>
    <row r="8" spans="1:6">
      <c r="A8" s="2" t="s">
        <v>48</v>
      </c>
      <c r="B8" s="7">
        <f>B7/B2</f>
        <v>4.2339999999999996E-2</v>
      </c>
      <c r="C8" s="7">
        <f t="shared" ref="C8:F8" si="3">C7/C2</f>
        <v>4.2340000000000003E-2</v>
      </c>
      <c r="D8" s="7">
        <f t="shared" si="3"/>
        <v>4.2340000000000003E-2</v>
      </c>
      <c r="E8" s="7">
        <f t="shared" si="3"/>
        <v>4.2340000000000003E-2</v>
      </c>
      <c r="F8" s="7">
        <f t="shared" si="3"/>
        <v>4.2339999999999996E-2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4618B-28AD-456C-8597-70911F63CAA6}">
  <dimension ref="A1:F6"/>
  <sheetViews>
    <sheetView workbookViewId="0">
      <selection activeCell="J9" sqref="J9"/>
    </sheetView>
  </sheetViews>
  <sheetFormatPr defaultRowHeight="15"/>
  <cols>
    <col min="1" max="1" width="15" bestFit="1" customWidth="1"/>
    <col min="2" max="6" width="9.7109375" bestFit="1" customWidth="1"/>
  </cols>
  <sheetData>
    <row r="1" spans="1:6">
      <c r="A1" s="2" t="s">
        <v>49</v>
      </c>
      <c r="B1" s="2" t="s">
        <v>40</v>
      </c>
      <c r="C1" s="2" t="s">
        <v>41</v>
      </c>
      <c r="D1" s="2" t="s">
        <v>42</v>
      </c>
      <c r="E1" s="2" t="s">
        <v>43</v>
      </c>
      <c r="F1" s="2" t="s">
        <v>44</v>
      </c>
    </row>
    <row r="2" spans="1:6">
      <c r="A2" s="2" t="s">
        <v>12</v>
      </c>
      <c r="B2" s="9">
        <f>'03_Revenue_Forecast'!B5</f>
        <v>277216.56</v>
      </c>
      <c r="C2" s="9">
        <f>'03_Revenue_Forecast'!B6</f>
        <v>296621.71919999999</v>
      </c>
      <c r="D2" s="2">
        <f>'03_Revenue_Forecast'!B7</f>
        <v>314419.022352</v>
      </c>
      <c r="E2" s="2">
        <f>'03_Revenue_Forecast'!B8</f>
        <v>330139.97346960002</v>
      </c>
      <c r="F2" s="2">
        <f>'03_Revenue_Forecast'!B9</f>
        <v>346646.97214308003</v>
      </c>
    </row>
    <row r="3" spans="1:6">
      <c r="A3" s="2" t="s">
        <v>13</v>
      </c>
      <c r="B3" s="10">
        <f>'04_Costs_&amp;_Margins'!B4</f>
        <v>16078.56048</v>
      </c>
      <c r="C3" s="10">
        <f>'04_Costs_&amp;_Margins'!C4</f>
        <v>17204.0597136</v>
      </c>
      <c r="D3" s="10">
        <f>'04_Costs_&amp;_Margins'!D4</f>
        <v>18236.303296416001</v>
      </c>
      <c r="E3" s="10">
        <f>'04_Costs_&amp;_Margins'!E4</f>
        <v>19148.118461236802</v>
      </c>
      <c r="F3" s="10">
        <f>'04_Costs_&amp;_Margins'!F4</f>
        <v>20105.524384298642</v>
      </c>
    </row>
    <row r="4" spans="1:6">
      <c r="A4" s="2" t="s">
        <v>47</v>
      </c>
      <c r="B4" s="10">
        <f>'04_Costs_&amp;_Margins'!B6</f>
        <v>4341.2113296000007</v>
      </c>
      <c r="C4" s="10">
        <f>'04_Costs_&amp;_Margins'!C6</f>
        <v>4645.0961226720001</v>
      </c>
      <c r="D4" s="10">
        <f>'04_Costs_&amp;_Margins'!D6</f>
        <v>4923.8018900323204</v>
      </c>
      <c r="E4" s="10">
        <f>'04_Costs_&amp;_Margins'!E6</f>
        <v>5169.9919845339364</v>
      </c>
      <c r="F4" s="10">
        <f>'04_Costs_&amp;_Margins'!F6</f>
        <v>5428.4915837606341</v>
      </c>
    </row>
    <row r="5" spans="1:6">
      <c r="A5" s="2" t="s">
        <v>14</v>
      </c>
      <c r="B5" s="10">
        <f>'04_Costs_&amp;_Margins'!B7</f>
        <v>11737.349150399999</v>
      </c>
      <c r="C5" s="10">
        <f>'04_Costs_&amp;_Margins'!C7</f>
        <v>12558.963590928</v>
      </c>
      <c r="D5" s="10">
        <f>'04_Costs_&amp;_Margins'!D7</f>
        <v>13312.501406383681</v>
      </c>
      <c r="E5" s="10">
        <f>'04_Costs_&amp;_Margins'!E7</f>
        <v>13978.126476702866</v>
      </c>
      <c r="F5" s="10">
        <f>'04_Costs_&amp;_Margins'!F7</f>
        <v>14677.032800538007</v>
      </c>
    </row>
    <row r="6" spans="1:6">
      <c r="A6" s="2" t="s">
        <v>48</v>
      </c>
      <c r="B6" s="7">
        <f>B5/B2</f>
        <v>4.2339999999999996E-2</v>
      </c>
      <c r="C6" s="7">
        <f t="shared" ref="C6:F6" si="0">C5/C2</f>
        <v>4.2340000000000003E-2</v>
      </c>
      <c r="D6" s="7">
        <f t="shared" si="0"/>
        <v>4.2340000000000003E-2</v>
      </c>
      <c r="E6" s="7">
        <f t="shared" si="0"/>
        <v>4.2340000000000003E-2</v>
      </c>
      <c r="F6" s="7">
        <f t="shared" si="0"/>
        <v>4.2339999999999996E-2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4991A-AC4D-478B-B18A-B837316D0DE5}">
  <dimension ref="A1:F5"/>
  <sheetViews>
    <sheetView workbookViewId="0">
      <selection activeCell="H7" sqref="H7"/>
    </sheetView>
  </sheetViews>
  <sheetFormatPr defaultRowHeight="15"/>
  <cols>
    <col min="1" max="1" width="18.28515625" bestFit="1" customWidth="1"/>
    <col min="2" max="6" width="9.7109375" bestFit="1" customWidth="1"/>
  </cols>
  <sheetData>
    <row r="1" spans="1:6">
      <c r="A1" s="2" t="s">
        <v>38</v>
      </c>
      <c r="B1" s="2" t="s">
        <v>40</v>
      </c>
      <c r="C1" s="2" t="s">
        <v>41</v>
      </c>
      <c r="D1" s="2" t="s">
        <v>42</v>
      </c>
      <c r="E1" s="2" t="s">
        <v>43</v>
      </c>
      <c r="F1" s="2" t="s">
        <v>44</v>
      </c>
    </row>
    <row r="2" spans="1:6">
      <c r="A2" s="2" t="s">
        <v>12</v>
      </c>
      <c r="B2" s="9">
        <f>'03_Revenue_Forecast'!B5</f>
        <v>277216.56</v>
      </c>
      <c r="C2" s="9">
        <f>'03_Revenue_Forecast'!B6</f>
        <v>296621.71919999999</v>
      </c>
      <c r="D2" s="2">
        <f>'03_Revenue_Forecast'!B7</f>
        <v>314419.022352</v>
      </c>
      <c r="E2" s="2">
        <f>'03_Revenue_Forecast'!B8</f>
        <v>330139.97346960002</v>
      </c>
      <c r="F2" s="2">
        <f>'03_Revenue_Forecast'!B9</f>
        <v>346646.97214308003</v>
      </c>
    </row>
    <row r="3" spans="1:6">
      <c r="A3" s="2" t="s">
        <v>15</v>
      </c>
      <c r="B3" s="10">
        <f>B2 * '02_Key_Assumptions_Base'!$B$11</f>
        <v>15246.9108</v>
      </c>
      <c r="C3" s="10">
        <f>C2 * '02_Key_Assumptions_Base'!$B$11</f>
        <v>16314.194556</v>
      </c>
      <c r="D3" s="10">
        <f>D2 * '02_Key_Assumptions_Base'!$B$11</f>
        <v>17293.046229359999</v>
      </c>
      <c r="E3" s="10">
        <f>E2 * '02_Key_Assumptions_Base'!$B$11</f>
        <v>18157.698540828002</v>
      </c>
      <c r="F3" s="10">
        <f>F2 * '02_Key_Assumptions_Base'!$B$11</f>
        <v>19065.583467869401</v>
      </c>
    </row>
    <row r="4" spans="1:6">
      <c r="A4" s="2" t="s">
        <v>50</v>
      </c>
      <c r="B4" s="10">
        <f>B2 * '02_Key_Assumptions_Base'!$B$12</f>
        <v>8316.496799999999</v>
      </c>
      <c r="C4" s="10">
        <f>C2 * '02_Key_Assumptions_Base'!$B$12</f>
        <v>8898.6515760000002</v>
      </c>
      <c r="D4" s="10">
        <f>D2 * '02_Key_Assumptions_Base'!$B$12</f>
        <v>9432.5706705600005</v>
      </c>
      <c r="E4" s="10">
        <f>E2 * '02_Key_Assumptions_Base'!$B$12</f>
        <v>9904.1992040879995</v>
      </c>
      <c r="F4" s="10">
        <f>F2 * '02_Key_Assumptions_Base'!$B$12</f>
        <v>10399.409164292401</v>
      </c>
    </row>
    <row r="5" spans="1:6">
      <c r="A5" s="2" t="s">
        <v>51</v>
      </c>
      <c r="B5" s="10">
        <f>B3 - B4</f>
        <v>6930.4140000000007</v>
      </c>
      <c r="C5" s="10">
        <f t="shared" ref="C5:F5" si="0">C3 - C4</f>
        <v>7415.5429800000002</v>
      </c>
      <c r="D5" s="10">
        <f t="shared" si="0"/>
        <v>7860.4755587999989</v>
      </c>
      <c r="E5" s="10">
        <f t="shared" si="0"/>
        <v>8253.499336740002</v>
      </c>
      <c r="F5" s="10">
        <f t="shared" si="0"/>
        <v>8666.1743035769996</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113DF-6012-455F-9058-67010F89A3D3}">
  <dimension ref="A1:F5"/>
  <sheetViews>
    <sheetView workbookViewId="0">
      <selection activeCell="J5" sqref="J5"/>
    </sheetView>
  </sheetViews>
  <sheetFormatPr defaultRowHeight="15"/>
  <cols>
    <col min="1" max="1" width="18.28515625" bestFit="1" customWidth="1"/>
    <col min="2" max="6" width="9.7109375" bestFit="1" customWidth="1"/>
  </cols>
  <sheetData>
    <row r="1" spans="1:6">
      <c r="A1" s="2" t="s">
        <v>38</v>
      </c>
      <c r="B1" s="2" t="s">
        <v>40</v>
      </c>
      <c r="C1" s="2" t="s">
        <v>41</v>
      </c>
      <c r="D1" s="2" t="s">
        <v>42</v>
      </c>
      <c r="E1" s="2" t="s">
        <v>43</v>
      </c>
      <c r="F1" s="2" t="s">
        <v>44</v>
      </c>
    </row>
    <row r="2" spans="1:6">
      <c r="A2" s="2" t="s">
        <v>12</v>
      </c>
      <c r="B2" s="9">
        <f>'03_Revenue_Forecast'!B5</f>
        <v>277216.56</v>
      </c>
      <c r="C2" s="9">
        <f>'03_Revenue_Forecast'!B6</f>
        <v>296621.71919999999</v>
      </c>
      <c r="D2" s="2">
        <f>'03_Revenue_Forecast'!B7</f>
        <v>314419.022352</v>
      </c>
      <c r="E2" s="2">
        <f>'03_Revenue_Forecast'!B8</f>
        <v>330139.97346960002</v>
      </c>
      <c r="F2" s="2">
        <f>'03_Revenue_Forecast'!B9</f>
        <v>346646.97214308003</v>
      </c>
    </row>
    <row r="3" spans="1:6">
      <c r="A3" s="2" t="s">
        <v>15</v>
      </c>
      <c r="B3" s="10">
        <f>B2 * '02_Key_Assumptions_Bull'!$B$11</f>
        <v>16632.993599999998</v>
      </c>
      <c r="C3" s="10">
        <f>C2 * '02_Key_Assumptions_Bull'!$B$11</f>
        <v>17797.303152</v>
      </c>
      <c r="D3" s="10">
        <f>D2 * '02_Key_Assumptions_Bull'!$B$11</f>
        <v>18865.141341120001</v>
      </c>
      <c r="E3" s="10">
        <f>E2 * '02_Key_Assumptions_Bull'!$B$11</f>
        <v>19808.398408175999</v>
      </c>
      <c r="F3" s="10">
        <f>F2 * '02_Key_Assumptions_Bull'!$B$11</f>
        <v>20798.818328584803</v>
      </c>
    </row>
    <row r="4" spans="1:6">
      <c r="A4" s="2" t="s">
        <v>50</v>
      </c>
      <c r="B4" s="10">
        <f>B2 * '02_Key_Assumptions_Bull'!$B$12</f>
        <v>7762.0636800000002</v>
      </c>
      <c r="C4" s="10">
        <f>C2 * '02_Key_Assumptions_Bull'!$B$12</f>
        <v>8305.4081375999995</v>
      </c>
      <c r="D4" s="10">
        <f>D2 * '02_Key_Assumptions_Bull'!$B$12</f>
        <v>8803.7326258560006</v>
      </c>
      <c r="E4" s="10">
        <f>E2 * '02_Key_Assumptions_Bull'!$B$12</f>
        <v>9243.9192571488002</v>
      </c>
      <c r="F4" s="10">
        <f>F2 * '02_Key_Assumptions_Bull'!$B$12</f>
        <v>9706.1152200062406</v>
      </c>
    </row>
    <row r="5" spans="1:6">
      <c r="A5" s="2" t="s">
        <v>51</v>
      </c>
      <c r="B5" s="10">
        <f>B3 - B4</f>
        <v>8870.9299199999987</v>
      </c>
      <c r="C5" s="10">
        <f t="shared" ref="C5:F5" si="0">C3 - C4</f>
        <v>9491.8950144000009</v>
      </c>
      <c r="D5" s="10">
        <f t="shared" si="0"/>
        <v>10061.408715264</v>
      </c>
      <c r="E5" s="10">
        <f t="shared" si="0"/>
        <v>10564.479151027199</v>
      </c>
      <c r="F5" s="10">
        <f t="shared" si="0"/>
        <v>11092.703108578562</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CA0AA-5717-4DC8-A25B-626895C4DB4C}">
  <dimension ref="A1:F5"/>
  <sheetViews>
    <sheetView workbookViewId="0">
      <selection activeCell="J5" sqref="J5"/>
    </sheetView>
  </sheetViews>
  <sheetFormatPr defaultRowHeight="15"/>
  <cols>
    <col min="1" max="1" width="18.28515625" bestFit="1" customWidth="1"/>
    <col min="2" max="6" width="9.7109375" bestFit="1" customWidth="1"/>
  </cols>
  <sheetData>
    <row r="1" spans="1:6">
      <c r="A1" s="2" t="s">
        <v>38</v>
      </c>
      <c r="B1" s="2" t="s">
        <v>40</v>
      </c>
      <c r="C1" s="2" t="s">
        <v>41</v>
      </c>
      <c r="D1" s="2" t="s">
        <v>42</v>
      </c>
      <c r="E1" s="2" t="s">
        <v>43</v>
      </c>
      <c r="F1" s="2" t="s">
        <v>44</v>
      </c>
    </row>
    <row r="2" spans="1:6">
      <c r="A2" s="2" t="s">
        <v>12</v>
      </c>
      <c r="B2" s="9">
        <f>'03_Revenue_Forecast'!B5</f>
        <v>277216.56</v>
      </c>
      <c r="C2" s="9">
        <f>'03_Revenue_Forecast'!B6</f>
        <v>296621.71919999999</v>
      </c>
      <c r="D2" s="2">
        <f>'03_Revenue_Forecast'!B7</f>
        <v>314419.022352</v>
      </c>
      <c r="E2" s="2">
        <f>'03_Revenue_Forecast'!B8</f>
        <v>330139.97346960002</v>
      </c>
      <c r="F2" s="2">
        <f>'03_Revenue_Forecast'!B9</f>
        <v>346646.97214308003</v>
      </c>
    </row>
    <row r="3" spans="1:6">
      <c r="A3" s="2" t="s">
        <v>15</v>
      </c>
      <c r="B3" s="10">
        <f>B2 * '02_Key_Assumptions_Bear'!$B$11</f>
        <v>13860.828000000001</v>
      </c>
      <c r="C3" s="10">
        <f>C2 * '02_Key_Assumptions_Bear'!$B$11</f>
        <v>14831.08596</v>
      </c>
      <c r="D3" s="10">
        <f>D2 * '02_Key_Assumptions_Bear'!$B$11</f>
        <v>15720.951117600001</v>
      </c>
      <c r="E3" s="10">
        <f>E2 * '02_Key_Assumptions_Bear'!$B$11</f>
        <v>16506.99867348</v>
      </c>
      <c r="F3" s="10">
        <f>F2 * '02_Key_Assumptions_Bear'!$B$11</f>
        <v>17332.348607154003</v>
      </c>
    </row>
    <row r="4" spans="1:6">
      <c r="A4" s="2" t="s">
        <v>50</v>
      </c>
      <c r="B4" s="10">
        <f>B2 * '02_Key_Assumptions_Bear'!$B$12</f>
        <v>9702.5796000000009</v>
      </c>
      <c r="C4" s="10">
        <f>C2 * '02_Key_Assumptions_Bear'!$B$12</f>
        <v>10381.760172</v>
      </c>
      <c r="D4" s="10">
        <f>D2 * '02_Key_Assumptions_Bear'!$B$12</f>
        <v>11004.66578232</v>
      </c>
      <c r="E4" s="10">
        <f>E2 * '02_Key_Assumptions_Bear'!$B$12</f>
        <v>11554.899071436002</v>
      </c>
      <c r="F4" s="10">
        <f>F2 * '02_Key_Assumptions_Bear'!$B$12</f>
        <v>12132.644025007801</v>
      </c>
    </row>
    <row r="5" spans="1:6">
      <c r="A5" s="2" t="s">
        <v>51</v>
      </c>
      <c r="B5" s="10">
        <f>B3 - B4</f>
        <v>4158.2484000000004</v>
      </c>
      <c r="C5" s="10">
        <f t="shared" ref="C5:F5" si="0">C3 - C4</f>
        <v>4449.3257880000001</v>
      </c>
      <c r="D5" s="10">
        <f t="shared" si="0"/>
        <v>4716.2853352800012</v>
      </c>
      <c r="E5" s="10">
        <f t="shared" si="0"/>
        <v>4952.0996020439979</v>
      </c>
      <c r="F5" s="10">
        <f t="shared" si="0"/>
        <v>5199.7045821462016</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DF645-A758-4284-BE46-1182027FB0B2}">
  <dimension ref="A1:F5"/>
  <sheetViews>
    <sheetView workbookViewId="0">
      <selection activeCell="J8" sqref="J8"/>
    </sheetView>
  </sheetViews>
  <sheetFormatPr defaultRowHeight="15"/>
  <cols>
    <col min="1" max="1" width="18.28515625" bestFit="1" customWidth="1"/>
    <col min="2" max="6" width="9.7109375" bestFit="1" customWidth="1"/>
  </cols>
  <sheetData>
    <row r="1" spans="1:6">
      <c r="A1" s="2" t="s">
        <v>38</v>
      </c>
      <c r="B1" s="2" t="s">
        <v>40</v>
      </c>
      <c r="C1" s="2" t="s">
        <v>41</v>
      </c>
      <c r="D1" s="2" t="s">
        <v>42</v>
      </c>
      <c r="E1" s="2" t="s">
        <v>43</v>
      </c>
      <c r="F1" s="2" t="s">
        <v>44</v>
      </c>
    </row>
    <row r="2" spans="1:6">
      <c r="A2" s="2" t="s">
        <v>12</v>
      </c>
      <c r="B2" s="9">
        <f>'03_Revenue_Forecast'!B5</f>
        <v>277216.56</v>
      </c>
      <c r="C2" s="9">
        <f>'03_Revenue_Forecast'!B6</f>
        <v>296621.71919999999</v>
      </c>
      <c r="D2" s="2">
        <f>'03_Revenue_Forecast'!B7</f>
        <v>314419.022352</v>
      </c>
      <c r="E2" s="2">
        <f>'03_Revenue_Forecast'!B8</f>
        <v>330139.97346960002</v>
      </c>
      <c r="F2" s="2">
        <f>'03_Revenue_Forecast'!B9</f>
        <v>346646.97214308003</v>
      </c>
    </row>
    <row r="3" spans="1:6">
      <c r="A3" s="2" t="s">
        <v>15</v>
      </c>
      <c r="B3" s="10">
        <f>B2 * '02_Key_Assumptions'!$B$11</f>
        <v>12474.745199999999</v>
      </c>
      <c r="C3" s="10">
        <f>C2 * '02_Key_Assumptions'!$B$11</f>
        <v>13347.977363999998</v>
      </c>
      <c r="D3" s="10">
        <f>D2 * '02_Key_Assumptions'!$B$11</f>
        <v>14148.85600584</v>
      </c>
      <c r="E3" s="10">
        <f>E2 * '02_Key_Assumptions'!$B$11</f>
        <v>14856.298806132001</v>
      </c>
      <c r="F3" s="10">
        <f>F2 * '02_Key_Assumptions'!$B$11</f>
        <v>15599.113746438601</v>
      </c>
    </row>
    <row r="4" spans="1:6">
      <c r="A4" s="2" t="s">
        <v>50</v>
      </c>
      <c r="B4" s="10">
        <f>B2 * '02_Key_Assumptions'!$B$12</f>
        <v>11088.662399999999</v>
      </c>
      <c r="C4" s="10">
        <f>C2 * '02_Key_Assumptions'!$B$12</f>
        <v>11864.868768</v>
      </c>
      <c r="D4" s="10">
        <f>D2 * '02_Key_Assumptions'!$B$12</f>
        <v>12576.76089408</v>
      </c>
      <c r="E4" s="10">
        <f>E2 * '02_Key_Assumptions'!$B$12</f>
        <v>13205.598938784002</v>
      </c>
      <c r="F4" s="10">
        <f>F2 * '02_Key_Assumptions'!$B$12</f>
        <v>13865.878885723201</v>
      </c>
    </row>
    <row r="5" spans="1:6">
      <c r="A5" s="2" t="s">
        <v>51</v>
      </c>
      <c r="B5" s="10">
        <f>B3 - B4</f>
        <v>1386.0828000000001</v>
      </c>
      <c r="C5" s="10">
        <f t="shared" ref="C5:F5" si="0">C3 - C4</f>
        <v>1483.1085959999982</v>
      </c>
      <c r="D5" s="10">
        <f t="shared" si="0"/>
        <v>1572.0951117599998</v>
      </c>
      <c r="E5" s="10">
        <f t="shared" si="0"/>
        <v>1650.6998673479993</v>
      </c>
      <c r="F5" s="10">
        <f t="shared" si="0"/>
        <v>1733.2348607153999</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DD0BA-A251-4448-BC93-B035F017AFBC}">
  <dimension ref="A1"/>
  <sheetViews>
    <sheetView workbookViewId="0"/>
  </sheetViews>
  <sheetFormatPr defaultRowHeight="15"/>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3F60E-361C-487A-A48F-A7378A2EC5AD}">
  <dimension ref="A1:F18"/>
  <sheetViews>
    <sheetView workbookViewId="0">
      <selection activeCell="I18" sqref="I18"/>
    </sheetView>
  </sheetViews>
  <sheetFormatPr defaultRowHeight="15"/>
  <cols>
    <col min="1" max="1" width="22.85546875" bestFit="1" customWidth="1"/>
    <col min="2" max="2" width="10.140625" bestFit="1" customWidth="1"/>
    <col min="3" max="5" width="9.7109375" bestFit="1" customWidth="1"/>
    <col min="6" max="6" width="10.140625" bestFit="1" customWidth="1"/>
  </cols>
  <sheetData>
    <row r="1" spans="1:6">
      <c r="A1" s="2" t="s">
        <v>35</v>
      </c>
      <c r="B1" s="7">
        <v>0.13</v>
      </c>
    </row>
    <row r="2" spans="1:6">
      <c r="A2" s="2" t="s">
        <v>36</v>
      </c>
      <c r="B2" s="7">
        <v>2.5000000000000001E-2</v>
      </c>
    </row>
    <row r="4" spans="1:6">
      <c r="A4" s="2" t="s">
        <v>38</v>
      </c>
      <c r="B4" s="2" t="s">
        <v>40</v>
      </c>
      <c r="C4" s="2" t="s">
        <v>41</v>
      </c>
      <c r="D4" s="2" t="s">
        <v>42</v>
      </c>
      <c r="E4" s="2" t="s">
        <v>43</v>
      </c>
      <c r="F4" s="2" t="s">
        <v>44</v>
      </c>
    </row>
    <row r="5" spans="1:6">
      <c r="A5" s="2" t="s">
        <v>52</v>
      </c>
      <c r="B5" s="10">
        <f>'06_Forecast_CF_Bear'!B5</f>
        <v>4158.2484000000004</v>
      </c>
      <c r="C5" s="10">
        <f>'06_Forecast_CF_Bear'!C5</f>
        <v>4449.3257880000001</v>
      </c>
      <c r="D5" s="10">
        <f>'06_Forecast_CF_Bear'!D5</f>
        <v>4716.2853352800012</v>
      </c>
      <c r="E5" s="10">
        <f>'06_Forecast_CF_Bear'!E5</f>
        <v>4952.0996020439979</v>
      </c>
      <c r="F5" s="10">
        <f>'06_Forecast_CF_Bear'!F5</f>
        <v>5199.7045821462016</v>
      </c>
    </row>
    <row r="6" spans="1:6">
      <c r="A6" s="2" t="s">
        <v>53</v>
      </c>
      <c r="B6" s="2">
        <v>1</v>
      </c>
      <c r="C6" s="2">
        <v>2</v>
      </c>
      <c r="D6" s="2">
        <v>3</v>
      </c>
      <c r="E6" s="2">
        <v>4</v>
      </c>
      <c r="F6" s="2">
        <v>5</v>
      </c>
    </row>
    <row r="7" spans="1:6">
      <c r="A7" s="2" t="s">
        <v>54</v>
      </c>
      <c r="B7" s="2">
        <f>1/(1+'02_Key_Assumptions_Bear'!$B$14)^B6</f>
        <v>0.88495575221238942</v>
      </c>
      <c r="C7" s="2">
        <f>1/(1+'02_Key_Assumptions_Bear'!$B$14)^C6</f>
        <v>0.78314668337379612</v>
      </c>
      <c r="D7" s="2">
        <f>1/(1+'02_Key_Assumptions_Bear'!$B$14)^D6</f>
        <v>0.69305016227769578</v>
      </c>
      <c r="E7" s="2">
        <f>1/(1+'02_Key_Assumptions_Bear'!$B$14)^E6</f>
        <v>0.61331872767937679</v>
      </c>
      <c r="F7" s="2">
        <f>1/(1+'02_Key_Assumptions_Bear'!$B$14)^F6</f>
        <v>0.54275993599944861</v>
      </c>
    </row>
    <row r="8" spans="1:6">
      <c r="A8" s="2" t="s">
        <v>55</v>
      </c>
      <c r="B8" s="10">
        <f>B5*B7</f>
        <v>3679.8658407079652</v>
      </c>
      <c r="C8" s="10">
        <f t="shared" ref="C8:F8" si="0">C5*C7</f>
        <v>3484.4747341217021</v>
      </c>
      <c r="D8" s="10">
        <f t="shared" si="0"/>
        <v>3268.6223169637215</v>
      </c>
      <c r="E8" s="10">
        <f t="shared" si="0"/>
        <v>3037.2154272671728</v>
      </c>
      <c r="F8" s="10">
        <f t="shared" si="0"/>
        <v>2822.1913262217122</v>
      </c>
    </row>
    <row r="10" spans="1:6">
      <c r="A10" s="2" t="s">
        <v>56</v>
      </c>
      <c r="B10" s="2"/>
      <c r="C10" s="2"/>
      <c r="D10" s="2"/>
      <c r="E10" s="2"/>
      <c r="F10" s="2">
        <f>F5*(1+'02_Key_Assumptions_Bear'!$B$15) /
('02_Key_Assumptions_Bear'!$B$14 - '02_Key_Assumptions_Bear'!$B$15)</f>
        <v>50759.020920951007</v>
      </c>
    </row>
    <row r="11" spans="1:6">
      <c r="A11" s="2" t="s">
        <v>57</v>
      </c>
      <c r="B11" s="2"/>
      <c r="C11" s="2"/>
      <c r="D11" s="2"/>
      <c r="E11" s="2"/>
      <c r="F11" s="2">
        <f>F10*F7</f>
        <v>27549.962946450039</v>
      </c>
    </row>
    <row r="13" spans="1:6">
      <c r="A13" s="2" t="s">
        <v>58</v>
      </c>
      <c r="B13" s="2">
        <f>SUM(B8:F8)+F11</f>
        <v>43842.332591732309</v>
      </c>
    </row>
    <row r="14" spans="1:6">
      <c r="A14" s="2"/>
      <c r="B14" s="2"/>
    </row>
    <row r="15" spans="1:6">
      <c r="A15" s="2" t="s">
        <v>59</v>
      </c>
      <c r="B15" s="1">
        <f>'01_Historical_Input'!D11 - '01_Historical_Input'!D10</f>
        <v>-2953</v>
      </c>
    </row>
    <row r="16" spans="1:6">
      <c r="A16" s="2" t="s">
        <v>60</v>
      </c>
      <c r="B16" s="2">
        <f>B13 - B15</f>
        <v>46795.332591732309</v>
      </c>
    </row>
    <row r="17" spans="1:2">
      <c r="A17" s="2" t="s">
        <v>61</v>
      </c>
      <c r="B17" s="2">
        <f>'02_Key_Assumptions_Bear'!B18</f>
        <v>591.34</v>
      </c>
    </row>
    <row r="18" spans="1:2">
      <c r="A18" s="2" t="s">
        <v>62</v>
      </c>
      <c r="B18" s="10">
        <f>B16/B17</f>
        <v>79.134394074022225</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88D3E-2EB0-4504-9684-8F6415DDB645}">
  <dimension ref="A1:F18"/>
  <sheetViews>
    <sheetView workbookViewId="0">
      <selection activeCell="I9" sqref="I9"/>
    </sheetView>
  </sheetViews>
  <sheetFormatPr defaultRowHeight="15"/>
  <cols>
    <col min="1" max="1" width="22.85546875" bestFit="1" customWidth="1"/>
    <col min="2" max="6" width="9.7109375" bestFit="1" customWidth="1"/>
  </cols>
  <sheetData>
    <row r="1" spans="1:6">
      <c r="A1" s="2" t="s">
        <v>35</v>
      </c>
      <c r="B1" s="7">
        <v>0.11</v>
      </c>
      <c r="C1" s="2"/>
      <c r="D1" s="2"/>
      <c r="E1" s="2"/>
      <c r="F1" s="2"/>
    </row>
    <row r="2" spans="1:6">
      <c r="A2" s="2" t="s">
        <v>36</v>
      </c>
      <c r="B2" s="7">
        <v>3.5000000000000003E-2</v>
      </c>
      <c r="C2" s="2"/>
      <c r="D2" s="2"/>
      <c r="E2" s="2"/>
      <c r="F2" s="2"/>
    </row>
    <row r="3" spans="1:6">
      <c r="A3" s="2"/>
      <c r="B3" s="2"/>
      <c r="C3" s="2"/>
      <c r="D3" s="2"/>
      <c r="E3" s="2"/>
      <c r="F3" s="2"/>
    </row>
    <row r="4" spans="1:6">
      <c r="A4" s="2" t="s">
        <v>38</v>
      </c>
      <c r="B4" s="2" t="s">
        <v>40</v>
      </c>
      <c r="C4" s="2" t="s">
        <v>41</v>
      </c>
      <c r="D4" s="2" t="s">
        <v>42</v>
      </c>
      <c r="E4" s="2" t="s">
        <v>43</v>
      </c>
      <c r="F4" s="2" t="s">
        <v>44</v>
      </c>
    </row>
    <row r="5" spans="1:6">
      <c r="A5" s="2" t="s">
        <v>52</v>
      </c>
      <c r="B5" s="10">
        <f>'06_Forecast_CF_Bull'!B5</f>
        <v>8870.9299199999987</v>
      </c>
      <c r="C5" s="10">
        <f>'06_Forecast_CF_Bull'!C5</f>
        <v>9491.8950144000009</v>
      </c>
      <c r="D5" s="10">
        <f>'06_Forecast_CF_Bull'!D5</f>
        <v>10061.408715264</v>
      </c>
      <c r="E5" s="10">
        <f>'06_Forecast_CF_Bull'!E5</f>
        <v>10564.479151027199</v>
      </c>
      <c r="F5" s="10">
        <f>'06_Forecast_CF_Bull'!F5</f>
        <v>11092.703108578562</v>
      </c>
    </row>
    <row r="6" spans="1:6">
      <c r="A6" s="2" t="s">
        <v>53</v>
      </c>
      <c r="B6" s="2">
        <v>1</v>
      </c>
      <c r="C6" s="2">
        <v>2</v>
      </c>
      <c r="D6" s="2">
        <v>3</v>
      </c>
      <c r="E6" s="2">
        <v>4</v>
      </c>
      <c r="F6" s="2">
        <v>5</v>
      </c>
    </row>
    <row r="7" spans="1:6">
      <c r="A7" s="2" t="s">
        <v>54</v>
      </c>
      <c r="B7" s="2">
        <f>1/(1+'02_Key_Assumptions_Bull'!$B$14)^B6</f>
        <v>0.9009009009009008</v>
      </c>
      <c r="C7" s="2">
        <f>1/(1+'02_Key_Assumptions_Bull'!$B$14)^C6</f>
        <v>0.8116224332440547</v>
      </c>
      <c r="D7" s="2">
        <f>1/(1+'02_Key_Assumptions_Bull'!$B$14)^D6</f>
        <v>0.73119138130095018</v>
      </c>
      <c r="E7" s="2">
        <f>1/(1+'02_Key_Assumptions_Bull'!$B$14)^E6</f>
        <v>0.65873097414500015</v>
      </c>
      <c r="F7" s="2">
        <f>1/(1+'02_Key_Assumptions_Bull'!$B$14)^F6</f>
        <v>0.5934513280585586</v>
      </c>
    </row>
    <row r="8" spans="1:6">
      <c r="A8" s="2" t="s">
        <v>55</v>
      </c>
      <c r="B8" s="10">
        <f>B5*B7</f>
        <v>7991.828756756755</v>
      </c>
      <c r="C8" s="10">
        <f t="shared" ref="C8:F8" si="0">C5*C7</f>
        <v>7703.8349276844401</v>
      </c>
      <c r="D8" s="10">
        <f t="shared" si="0"/>
        <v>7356.8153363473029</v>
      </c>
      <c r="E8" s="10">
        <f t="shared" si="0"/>
        <v>6959.1496424906909</v>
      </c>
      <c r="F8" s="10">
        <f t="shared" si="0"/>
        <v>6582.9793915452492</v>
      </c>
    </row>
    <row r="9" spans="1:6">
      <c r="A9" s="2"/>
      <c r="B9" s="2"/>
      <c r="C9" s="2"/>
      <c r="D9" s="2"/>
      <c r="E9" s="2"/>
      <c r="F9" s="2"/>
    </row>
    <row r="10" spans="1:6">
      <c r="A10" s="2" t="s">
        <v>56</v>
      </c>
      <c r="B10" s="2"/>
      <c r="C10" s="2"/>
      <c r="D10" s="2"/>
      <c r="E10" s="2"/>
      <c r="F10" s="2">
        <f>F5*(1+'02_Key_Assumptions_Bull'!$B$15) /
('02_Key_Assumptions_Bull'!$B$14 - '02_Key_Assumptions_Bull'!$B$15)</f>
        <v>153079.30289838417</v>
      </c>
    </row>
    <row r="11" spans="1:6">
      <c r="A11" s="2" t="s">
        <v>57</v>
      </c>
      <c r="B11" s="2"/>
      <c r="C11" s="2"/>
      <c r="D11" s="2"/>
      <c r="E11" s="2"/>
      <c r="F11" s="2">
        <f>F10*F7</f>
        <v>90845.115603324448</v>
      </c>
    </row>
    <row r="12" spans="1:6">
      <c r="A12" s="2"/>
      <c r="B12" s="2"/>
      <c r="C12" s="2"/>
      <c r="D12" s="2"/>
      <c r="E12" s="2"/>
      <c r="F12" s="2"/>
    </row>
    <row r="13" spans="1:6">
      <c r="A13" s="2" t="s">
        <v>58</v>
      </c>
      <c r="B13" s="2">
        <f>SUM(B8:F8)+F11</f>
        <v>127439.72365814888</v>
      </c>
      <c r="C13" s="2"/>
      <c r="D13" s="2"/>
      <c r="E13" s="2"/>
      <c r="F13" s="2"/>
    </row>
    <row r="14" spans="1:6">
      <c r="A14" s="2"/>
      <c r="B14" s="2"/>
      <c r="C14" s="2"/>
      <c r="D14" s="2"/>
      <c r="E14" s="2"/>
      <c r="F14" s="2"/>
    </row>
    <row r="15" spans="1:6">
      <c r="A15" s="2" t="s">
        <v>59</v>
      </c>
      <c r="B15" s="1">
        <f>'01_Historical_Input'!D11 - '01_Historical_Input'!D10</f>
        <v>-2953</v>
      </c>
      <c r="C15" s="2"/>
      <c r="D15" s="2"/>
      <c r="E15" s="2"/>
      <c r="F15" s="2"/>
    </row>
    <row r="16" spans="1:6">
      <c r="A16" s="2" t="s">
        <v>60</v>
      </c>
      <c r="B16" s="2">
        <f>B13 - B15</f>
        <v>130392.72365814888</v>
      </c>
      <c r="C16" s="2"/>
      <c r="D16" s="2"/>
      <c r="E16" s="2"/>
      <c r="F16" s="2"/>
    </row>
    <row r="17" spans="1:6">
      <c r="A17" s="2" t="s">
        <v>61</v>
      </c>
      <c r="B17" s="2">
        <f>'02_Key_Assumptions_Bull'!B18</f>
        <v>591.34</v>
      </c>
      <c r="C17" s="2"/>
      <c r="D17" s="2"/>
      <c r="E17" s="2"/>
      <c r="F17" s="2"/>
    </row>
    <row r="18" spans="1:6">
      <c r="A18" s="2" t="s">
        <v>62</v>
      </c>
      <c r="B18" s="10">
        <f>B16/B17</f>
        <v>220.503811103847</v>
      </c>
      <c r="C18" s="2"/>
      <c r="D18" s="2"/>
      <c r="E18" s="2"/>
      <c r="F18" s="2"/>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68F94-90EC-4D0A-9110-AA191A801B92}">
  <dimension ref="A1:F18"/>
  <sheetViews>
    <sheetView workbookViewId="0">
      <selection activeCell="F17" sqref="F17"/>
    </sheetView>
  </sheetViews>
  <sheetFormatPr defaultRowHeight="15"/>
  <cols>
    <col min="1" max="1" width="22.85546875" bestFit="1" customWidth="1"/>
    <col min="2" max="6" width="9.7109375" bestFit="1" customWidth="1"/>
  </cols>
  <sheetData>
    <row r="1" spans="1:6">
      <c r="A1" s="2" t="s">
        <v>35</v>
      </c>
      <c r="B1" s="7">
        <f>'02_Key_Assumptions_Base'!B14</f>
        <v>0.12</v>
      </c>
      <c r="C1" s="2"/>
      <c r="D1" s="2"/>
      <c r="E1" s="2"/>
      <c r="F1" s="2"/>
    </row>
    <row r="2" spans="1:6">
      <c r="A2" s="2" t="s">
        <v>36</v>
      </c>
      <c r="B2" s="7">
        <f>'02_Key_Assumptions_Base'!B15</f>
        <v>0.03</v>
      </c>
      <c r="C2" s="2"/>
      <c r="D2" s="2"/>
      <c r="E2" s="2"/>
      <c r="F2" s="2"/>
    </row>
    <row r="3" spans="1:6">
      <c r="A3" s="2"/>
      <c r="B3" s="2"/>
      <c r="C3" s="2"/>
      <c r="D3" s="2"/>
      <c r="E3" s="2"/>
      <c r="F3" s="2"/>
    </row>
    <row r="4" spans="1:6">
      <c r="A4" s="2" t="s">
        <v>38</v>
      </c>
      <c r="B4" s="2" t="s">
        <v>40</v>
      </c>
      <c r="C4" s="2" t="s">
        <v>41</v>
      </c>
      <c r="D4" s="2" t="s">
        <v>42</v>
      </c>
      <c r="E4" s="2" t="s">
        <v>43</v>
      </c>
      <c r="F4" s="2" t="s">
        <v>44</v>
      </c>
    </row>
    <row r="5" spans="1:6">
      <c r="A5" s="2" t="s">
        <v>52</v>
      </c>
      <c r="B5" s="10">
        <f>'06_Forecast_CF_Base'!B5</f>
        <v>6930.4140000000007</v>
      </c>
      <c r="C5" s="10">
        <f>'06_Forecast_CF_Base'!C5</f>
        <v>7415.5429800000002</v>
      </c>
      <c r="D5" s="10">
        <f>'06_Forecast_CF_Base'!D5</f>
        <v>7860.4755587999989</v>
      </c>
      <c r="E5" s="10">
        <f>'06_Forecast_CF_Base'!E5</f>
        <v>8253.499336740002</v>
      </c>
      <c r="F5" s="10">
        <f>'06_Forecast_CF_Base'!F5</f>
        <v>8666.1743035769996</v>
      </c>
    </row>
    <row r="6" spans="1:6">
      <c r="A6" s="2" t="s">
        <v>53</v>
      </c>
      <c r="B6" s="2">
        <v>1</v>
      </c>
      <c r="C6" s="2">
        <v>2</v>
      </c>
      <c r="D6" s="2">
        <v>3</v>
      </c>
      <c r="E6" s="2">
        <v>4</v>
      </c>
      <c r="F6" s="2">
        <v>5</v>
      </c>
    </row>
    <row r="7" spans="1:6">
      <c r="A7" s="2" t="s">
        <v>54</v>
      </c>
      <c r="B7" s="2">
        <f>1/(1+$B$1)^B6</f>
        <v>0.89285714285714279</v>
      </c>
      <c r="C7" s="2">
        <f t="shared" ref="C7:F7" si="0">1/(1+$B$1)^C6</f>
        <v>0.79719387755102034</v>
      </c>
      <c r="D7" s="2">
        <f t="shared" si="0"/>
        <v>0.71178024781341087</v>
      </c>
      <c r="E7" s="2">
        <f t="shared" si="0"/>
        <v>0.63551807840483121</v>
      </c>
      <c r="F7" s="2">
        <f t="shared" si="0"/>
        <v>0.56742685571859919</v>
      </c>
    </row>
    <row r="8" spans="1:6">
      <c r="A8" s="2" t="s">
        <v>55</v>
      </c>
      <c r="B8" s="10">
        <f>B5*B7</f>
        <v>6187.8696428571429</v>
      </c>
      <c r="C8" s="10">
        <f t="shared" ref="C8:F8" si="1">C5*C7</f>
        <v>5911.625462372449</v>
      </c>
      <c r="D8" s="10">
        <f t="shared" si="1"/>
        <v>5594.9312411739229</v>
      </c>
      <c r="E8" s="10">
        <f t="shared" si="1"/>
        <v>5245.2480386005554</v>
      </c>
      <c r="F8" s="10">
        <f t="shared" si="1"/>
        <v>4917.4200361880175</v>
      </c>
    </row>
    <row r="9" spans="1:6">
      <c r="A9" s="2"/>
      <c r="B9" s="2"/>
      <c r="C9" s="2"/>
      <c r="D9" s="2"/>
      <c r="E9" s="2"/>
      <c r="F9" s="2"/>
    </row>
    <row r="10" spans="1:6">
      <c r="A10" s="2" t="s">
        <v>56</v>
      </c>
      <c r="B10" s="2"/>
      <c r="C10" s="2"/>
      <c r="D10" s="2"/>
      <c r="E10" s="2"/>
      <c r="F10" s="2">
        <f>F5*(1+$B$2)/($B$1-$B$2)</f>
        <v>99179.550363158996</v>
      </c>
    </row>
    <row r="11" spans="1:6">
      <c r="A11" s="2" t="s">
        <v>57</v>
      </c>
      <c r="B11" s="2"/>
      <c r="C11" s="2"/>
      <c r="D11" s="2"/>
      <c r="E11" s="2"/>
      <c r="F11" s="2">
        <f>F10*F7</f>
        <v>56277.140414151763</v>
      </c>
    </row>
    <row r="12" spans="1:6">
      <c r="A12" s="2"/>
      <c r="B12" s="2"/>
      <c r="C12" s="2"/>
      <c r="D12" s="2"/>
      <c r="E12" s="2"/>
      <c r="F12" s="2"/>
    </row>
    <row r="13" spans="1:6">
      <c r="A13" s="2" t="s">
        <v>58</v>
      </c>
      <c r="B13" s="10">
        <f>SUM(B8:F8)+F11</f>
        <v>84134.234835343843</v>
      </c>
      <c r="C13" s="2"/>
      <c r="D13" s="2"/>
      <c r="E13" s="2"/>
      <c r="F13" s="2"/>
    </row>
    <row r="14" spans="1:6">
      <c r="A14" s="2"/>
      <c r="B14" s="2"/>
      <c r="C14" s="2"/>
      <c r="D14" s="2"/>
      <c r="E14" s="2"/>
      <c r="F14" s="2"/>
    </row>
    <row r="15" spans="1:6">
      <c r="A15" s="2" t="s">
        <v>59</v>
      </c>
      <c r="B15" s="1">
        <f>'01_Historical_Input'!D11 - '01_Historical_Input'!D10</f>
        <v>-2953</v>
      </c>
      <c r="C15" s="2"/>
      <c r="D15" s="2"/>
      <c r="E15" s="2"/>
      <c r="F15" s="2"/>
    </row>
    <row r="16" spans="1:6">
      <c r="A16" s="2" t="s">
        <v>60</v>
      </c>
      <c r="B16" s="10">
        <f>B13 - B15</f>
        <v>87087.234835343843</v>
      </c>
      <c r="C16" s="2"/>
      <c r="D16" s="2"/>
      <c r="E16" s="2"/>
      <c r="F16" s="2"/>
    </row>
    <row r="17" spans="1:6">
      <c r="A17" s="2" t="s">
        <v>61</v>
      </c>
      <c r="B17" s="2">
        <f>'02_Key_Assumptions_Base'!B18</f>
        <v>591.34</v>
      </c>
      <c r="C17" s="2"/>
      <c r="D17" s="2"/>
      <c r="E17" s="2"/>
      <c r="F17" s="2"/>
    </row>
    <row r="18" spans="1:6">
      <c r="A18" s="2" t="s">
        <v>62</v>
      </c>
      <c r="B18" s="10">
        <f>B16/B17</f>
        <v>147.27100286695276</v>
      </c>
      <c r="C18" s="2"/>
      <c r="D18" s="2"/>
      <c r="E18" s="2"/>
      <c r="F18" s="2"/>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0309-9ADD-47C6-BB14-5E12D32BAB6F}">
  <dimension ref="A1:F18"/>
  <sheetViews>
    <sheetView workbookViewId="0">
      <selection activeCell="G11" sqref="G11"/>
    </sheetView>
  </sheetViews>
  <sheetFormatPr defaultRowHeight="15"/>
  <cols>
    <col min="1" max="1" width="22.85546875" bestFit="1" customWidth="1"/>
    <col min="2" max="6" width="9.7109375" bestFit="1" customWidth="1"/>
  </cols>
  <sheetData>
    <row r="1" spans="1:6">
      <c r="A1" s="10" t="s">
        <v>35</v>
      </c>
      <c r="B1" s="10">
        <f>'02_Key_Assumptions'!B14</f>
        <v>0.12</v>
      </c>
      <c r="C1" s="10"/>
      <c r="D1" s="10"/>
      <c r="E1" s="10"/>
      <c r="F1" s="10"/>
    </row>
    <row r="2" spans="1:6">
      <c r="A2" s="10" t="s">
        <v>36</v>
      </c>
      <c r="B2" s="10">
        <f>'02_Key_Assumptions'!B15</f>
        <v>0.03</v>
      </c>
      <c r="C2" s="10"/>
      <c r="D2" s="10"/>
      <c r="E2" s="10"/>
      <c r="F2" s="10"/>
    </row>
    <row r="3" spans="1:6">
      <c r="A3" s="10"/>
      <c r="B3" s="10"/>
      <c r="C3" s="10"/>
      <c r="D3" s="10"/>
      <c r="E3" s="10"/>
      <c r="F3" s="10"/>
    </row>
    <row r="4" spans="1:6">
      <c r="A4" s="10" t="s">
        <v>38</v>
      </c>
      <c r="B4" s="10" t="s">
        <v>40</v>
      </c>
      <c r="C4" s="10" t="s">
        <v>41</v>
      </c>
      <c r="D4" s="10" t="s">
        <v>42</v>
      </c>
      <c r="E4" s="10" t="s">
        <v>43</v>
      </c>
      <c r="F4" s="10" t="s">
        <v>44</v>
      </c>
    </row>
    <row r="5" spans="1:6">
      <c r="A5" s="10" t="s">
        <v>52</v>
      </c>
      <c r="B5" s="10">
        <f>'06_Forecast_CF'!B5</f>
        <v>1386.0828000000001</v>
      </c>
      <c r="C5" s="10">
        <f>'06_Forecast_CF'!C5</f>
        <v>1483.1085959999982</v>
      </c>
      <c r="D5" s="10">
        <f>'06_Forecast_CF'!D5</f>
        <v>1572.0951117599998</v>
      </c>
      <c r="E5" s="10">
        <f>'06_Forecast_CF'!E5</f>
        <v>1650.6998673479993</v>
      </c>
      <c r="F5" s="10">
        <f>'06_Forecast_CF'!F5</f>
        <v>1733.2348607153999</v>
      </c>
    </row>
    <row r="6" spans="1:6">
      <c r="A6" s="10" t="s">
        <v>53</v>
      </c>
      <c r="B6" s="10">
        <v>1</v>
      </c>
      <c r="C6" s="10">
        <v>2</v>
      </c>
      <c r="D6" s="10">
        <v>3</v>
      </c>
      <c r="E6" s="10">
        <v>4</v>
      </c>
      <c r="F6" s="10">
        <v>5</v>
      </c>
    </row>
    <row r="7" spans="1:6">
      <c r="A7" s="10" t="s">
        <v>54</v>
      </c>
      <c r="B7" s="10">
        <f>1/(1+'02_Key_Assumptions'!$B$14)^B6</f>
        <v>0.89285714285714279</v>
      </c>
      <c r="C7" s="10">
        <f>1/(1+'02_Key_Assumptions'!$B$14)^C6</f>
        <v>0.79719387755102034</v>
      </c>
      <c r="D7" s="10">
        <f>1/(1+'02_Key_Assumptions'!$B$14)^D6</f>
        <v>0.71178024781341087</v>
      </c>
      <c r="E7" s="10">
        <f>1/(1+'02_Key_Assumptions'!$B$14)^E6</f>
        <v>0.63551807840483121</v>
      </c>
      <c r="F7" s="10">
        <f>1/(1+'02_Key_Assumptions'!$B$14)^F6</f>
        <v>0.56742685571859919</v>
      </c>
    </row>
    <row r="8" spans="1:6">
      <c r="A8" s="10" t="s">
        <v>55</v>
      </c>
      <c r="B8" s="10">
        <f>B5*B7</f>
        <v>1237.5739285714285</v>
      </c>
      <c r="C8" s="10">
        <f t="shared" ref="C8:F8" si="0">C5*C7</f>
        <v>1182.3250924744882</v>
      </c>
      <c r="D8" s="10">
        <f t="shared" si="0"/>
        <v>1118.9862482347844</v>
      </c>
      <c r="E8" s="10">
        <f t="shared" si="0"/>
        <v>1049.0496077201103</v>
      </c>
      <c r="F8" s="10">
        <f t="shared" si="0"/>
        <v>983.48400723760358</v>
      </c>
    </row>
    <row r="9" spans="1:6">
      <c r="A9" s="10"/>
      <c r="B9" s="10"/>
      <c r="C9" s="10"/>
      <c r="D9" s="10"/>
      <c r="E9" s="10"/>
      <c r="F9" s="10"/>
    </row>
    <row r="10" spans="1:6">
      <c r="A10" s="10" t="s">
        <v>56</v>
      </c>
      <c r="B10" s="10"/>
      <c r="C10" s="10"/>
      <c r="D10" s="10"/>
      <c r="E10" s="10"/>
      <c r="F10" s="10">
        <f>F5*(1+'02_Key_Assumptions'!$B$15) /
('02_Key_Assumptions'!$B$14 - '02_Key_Assumptions'!$B$15)</f>
        <v>19835.910072631799</v>
      </c>
    </row>
    <row r="11" spans="1:6">
      <c r="A11" s="10" t="s">
        <v>57</v>
      </c>
      <c r="B11" s="10"/>
      <c r="C11" s="10"/>
      <c r="D11" s="10"/>
      <c r="E11" s="10"/>
      <c r="F11" s="10">
        <f>F10*F7</f>
        <v>11255.428082830353</v>
      </c>
    </row>
    <row r="12" spans="1:6">
      <c r="A12" s="10"/>
      <c r="B12" s="10"/>
      <c r="C12" s="10"/>
      <c r="D12" s="10"/>
      <c r="E12" s="10"/>
      <c r="F12" s="10"/>
    </row>
    <row r="13" spans="1:6">
      <c r="A13" s="10" t="s">
        <v>58</v>
      </c>
      <c r="B13" s="10">
        <f>SUM(B8:F8)+F11</f>
        <v>16826.84696706877</v>
      </c>
      <c r="C13" s="10"/>
      <c r="D13" s="10"/>
      <c r="E13" s="10"/>
      <c r="F13" s="10"/>
    </row>
    <row r="14" spans="1:6">
      <c r="A14" s="10"/>
      <c r="B14" s="10"/>
      <c r="C14" s="10"/>
      <c r="D14" s="10"/>
      <c r="E14" s="10"/>
      <c r="F14" s="10"/>
    </row>
    <row r="15" spans="1:6">
      <c r="A15" s="10" t="s">
        <v>59</v>
      </c>
      <c r="B15" s="11">
        <f>'01_Historical_Input'!D11 - '01_Historical_Input'!D10</f>
        <v>-2953</v>
      </c>
      <c r="C15" s="10"/>
      <c r="D15" s="10"/>
      <c r="E15" s="10"/>
      <c r="F15" s="10"/>
    </row>
    <row r="16" spans="1:6">
      <c r="A16" s="10" t="s">
        <v>60</v>
      </c>
      <c r="B16" s="10">
        <f>B13 - B15</f>
        <v>19779.84696706877</v>
      </c>
      <c r="C16" s="10"/>
      <c r="D16" s="10"/>
      <c r="E16" s="10"/>
      <c r="F16" s="10"/>
    </row>
    <row r="17" spans="1:6">
      <c r="A17" s="10" t="s">
        <v>61</v>
      </c>
      <c r="B17" s="10">
        <f>'02_Key_Assumptions'!B18</f>
        <v>591.34</v>
      </c>
      <c r="C17" s="10"/>
      <c r="D17" s="10"/>
      <c r="E17" s="10"/>
      <c r="F17" s="10"/>
    </row>
    <row r="18" spans="1:6">
      <c r="A18" s="10" t="s">
        <v>62</v>
      </c>
      <c r="B18" s="10">
        <f>B16/B17</f>
        <v>33.449194992844674</v>
      </c>
      <c r="C18" s="10"/>
      <c r="D18" s="10"/>
      <c r="E18" s="10"/>
      <c r="F18" s="10"/>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723D7-60C5-4E4A-83C6-6C4565532A63}">
  <dimension ref="A1:G19"/>
  <sheetViews>
    <sheetView topLeftCell="A8" workbookViewId="0">
      <selection activeCell="A15" sqref="A15"/>
    </sheetView>
  </sheetViews>
  <sheetFormatPr defaultRowHeight="15"/>
  <cols>
    <col min="1" max="1" width="36.5703125" bestFit="1" customWidth="1"/>
    <col min="5" max="6" width="12.85546875" bestFit="1" customWidth="1"/>
    <col min="7" max="7" width="12" bestFit="1" customWidth="1"/>
  </cols>
  <sheetData>
    <row r="1" spans="1:7" ht="25.5">
      <c r="A1" s="12" t="s">
        <v>63</v>
      </c>
      <c r="B1" s="2"/>
      <c r="C1" s="2"/>
      <c r="D1" s="2"/>
      <c r="E1" s="2"/>
      <c r="F1" s="2"/>
      <c r="G1" s="2"/>
    </row>
    <row r="2" spans="1:7" ht="36">
      <c r="A2" s="13" t="s">
        <v>64</v>
      </c>
      <c r="B2" s="2"/>
      <c r="C2" s="2"/>
      <c r="D2" s="2"/>
      <c r="E2" s="2"/>
      <c r="F2" s="2"/>
      <c r="G2" s="2"/>
    </row>
    <row r="3" spans="1:7">
      <c r="A3" s="3"/>
      <c r="B3" s="2"/>
      <c r="C3" s="2"/>
      <c r="D3" s="2"/>
      <c r="E3" s="2"/>
      <c r="F3" s="2"/>
      <c r="G3" s="2"/>
    </row>
    <row r="4" spans="1:7" ht="15.75">
      <c r="A4" s="14" t="s">
        <v>65</v>
      </c>
      <c r="B4" s="2"/>
      <c r="C4" s="2"/>
      <c r="D4" s="2"/>
      <c r="E4" s="2"/>
      <c r="F4" s="2"/>
      <c r="G4" s="2"/>
    </row>
    <row r="5" spans="1:7">
      <c r="A5" s="3"/>
      <c r="B5" s="2"/>
      <c r="C5" s="2"/>
      <c r="D5" s="2"/>
      <c r="E5" s="2"/>
      <c r="F5" s="2"/>
      <c r="G5" s="2"/>
    </row>
    <row r="6" spans="1:7">
      <c r="A6" s="15" t="s">
        <v>66</v>
      </c>
      <c r="B6" s="16">
        <v>264</v>
      </c>
      <c r="C6" s="17"/>
      <c r="D6" s="2"/>
      <c r="E6" s="2" t="s">
        <v>67</v>
      </c>
      <c r="F6" s="2" t="s">
        <v>68</v>
      </c>
      <c r="G6" s="2" t="s">
        <v>66</v>
      </c>
    </row>
    <row r="7" spans="1:7">
      <c r="A7" s="18" t="s">
        <v>69</v>
      </c>
      <c r="B7" s="19">
        <f>'08_Valuation_Bear'!B18</f>
        <v>79.134394074022225</v>
      </c>
      <c r="C7" s="20">
        <f>(B7-$B$6)/$B$6</f>
        <v>-0.70024850729537036</v>
      </c>
      <c r="D7" s="2"/>
      <c r="E7" s="2" t="s">
        <v>70</v>
      </c>
      <c r="F7" s="21">
        <f>B7</f>
        <v>79.134394074022225</v>
      </c>
      <c r="G7" s="21">
        <f>B6</f>
        <v>264</v>
      </c>
    </row>
    <row r="8" spans="1:7">
      <c r="A8" s="18" t="s">
        <v>71</v>
      </c>
      <c r="B8" s="19">
        <f>'08_Valuation_Base'!B18</f>
        <v>147.27100286695276</v>
      </c>
      <c r="C8" s="20">
        <f t="shared" ref="C8:C9" si="0">(B8-$B$6)/$B$6</f>
        <v>-0.44215529217063348</v>
      </c>
      <c r="D8" s="2"/>
      <c r="E8" s="2" t="s">
        <v>72</v>
      </c>
      <c r="F8" s="21">
        <f>B8</f>
        <v>147.27100286695276</v>
      </c>
      <c r="G8" s="21">
        <f>B6</f>
        <v>264</v>
      </c>
    </row>
    <row r="9" spans="1:7">
      <c r="A9" s="22" t="s">
        <v>73</v>
      </c>
      <c r="B9" s="23">
        <f>'08_Valuation_Bull'!B18</f>
        <v>220.503811103847</v>
      </c>
      <c r="C9" s="20">
        <f t="shared" si="0"/>
        <v>-0.16475829127330682</v>
      </c>
      <c r="D9" s="2"/>
      <c r="E9" s="2" t="s">
        <v>74</v>
      </c>
      <c r="F9" s="21">
        <f>B9</f>
        <v>220.503811103847</v>
      </c>
      <c r="G9" s="21">
        <f>B6</f>
        <v>264</v>
      </c>
    </row>
    <row r="10" spans="1:7">
      <c r="A10" s="2"/>
      <c r="B10" s="2"/>
      <c r="C10" s="2"/>
      <c r="D10" s="2"/>
      <c r="E10" s="2"/>
      <c r="F10" s="2"/>
      <c r="G10" s="2"/>
    </row>
    <row r="11" spans="1:7">
      <c r="A11" s="2"/>
      <c r="B11" s="2"/>
      <c r="C11" s="2"/>
      <c r="D11" s="2"/>
      <c r="E11" s="2"/>
      <c r="F11" s="2"/>
      <c r="G11" s="2"/>
    </row>
    <row r="12" spans="1:7" ht="15.75">
      <c r="A12" s="24" t="s">
        <v>75</v>
      </c>
      <c r="B12" s="2"/>
      <c r="C12" s="2"/>
      <c r="D12" s="2"/>
      <c r="E12" s="2"/>
      <c r="F12" s="2"/>
      <c r="G12" s="2"/>
    </row>
    <row r="13" spans="1:7">
      <c r="A13" s="2"/>
      <c r="B13" s="2"/>
      <c r="C13" s="2"/>
      <c r="D13" s="2"/>
      <c r="E13" s="2"/>
      <c r="F13" s="2"/>
      <c r="G13" s="2"/>
    </row>
    <row r="14" spans="1:7">
      <c r="A14" s="25" t="s">
        <v>23</v>
      </c>
      <c r="B14" s="26" t="s">
        <v>70</v>
      </c>
      <c r="C14" s="26" t="s">
        <v>72</v>
      </c>
      <c r="D14" s="27" t="s">
        <v>74</v>
      </c>
      <c r="E14" s="2"/>
      <c r="F14" s="2"/>
      <c r="G14" s="2"/>
    </row>
    <row r="15" spans="1:7">
      <c r="A15" s="18" t="s">
        <v>35</v>
      </c>
      <c r="B15" s="28">
        <f>'02_Key_Assumptions_Bear'!B14</f>
        <v>0.13</v>
      </c>
      <c r="C15" s="28">
        <f>'02_Key_Assumptions_Base'!B14</f>
        <v>0.12</v>
      </c>
      <c r="D15" s="20">
        <f>'02_Key_Assumptions_Bull'!B14</f>
        <v>0.11</v>
      </c>
      <c r="E15" s="2"/>
      <c r="F15" s="2"/>
      <c r="G15" s="2"/>
    </row>
    <row r="16" spans="1:7">
      <c r="A16" s="18" t="s">
        <v>76</v>
      </c>
      <c r="B16" s="28">
        <f>'02_Key_Assumptions_Bear'!B15</f>
        <v>2.5000000000000001E-2</v>
      </c>
      <c r="C16" s="28">
        <f>'02_Key_Assumptions_Base'!B15</f>
        <v>0.03</v>
      </c>
      <c r="D16" s="20">
        <f>'02_Key_Assumptions_Bull'!B15</f>
        <v>3.5000000000000003E-2</v>
      </c>
      <c r="E16" s="2"/>
      <c r="F16" s="2"/>
      <c r="G16" s="2"/>
    </row>
    <row r="17" spans="1:7">
      <c r="A17" s="18" t="s">
        <v>77</v>
      </c>
      <c r="B17" s="28">
        <f>'02_Key_Assumptions_Bear'!B11</f>
        <v>0.05</v>
      </c>
      <c r="C17" s="28">
        <f>'02_Key_Assumptions_Base'!B11</f>
        <v>5.5E-2</v>
      </c>
      <c r="D17" s="20">
        <f>'02_Key_Assumptions_Bull'!B11</f>
        <v>0.06</v>
      </c>
      <c r="E17" s="2"/>
      <c r="F17" s="2"/>
      <c r="G17" s="2"/>
    </row>
    <row r="18" spans="1:7">
      <c r="A18" s="22" t="s">
        <v>78</v>
      </c>
      <c r="B18" s="29">
        <f>'02_Key_Assumptions_Bear'!B12</f>
        <v>3.5000000000000003E-2</v>
      </c>
      <c r="C18" s="29">
        <f>'02_Key_Assumptions_Base'!B12</f>
        <v>0.03</v>
      </c>
      <c r="D18" s="30">
        <f>'02_Key_Assumptions_Bull'!B12</f>
        <v>2.8000000000000001E-2</v>
      </c>
      <c r="E18" s="2"/>
      <c r="F18" s="2"/>
      <c r="G18" s="2"/>
    </row>
    <row r="19" spans="1:7">
      <c r="A19" s="2"/>
      <c r="B19" s="2"/>
      <c r="C19" s="2"/>
      <c r="D19" s="2"/>
      <c r="E19" s="2"/>
      <c r="F19" s="2"/>
      <c r="G19" s="2"/>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30F01-1C9C-44E3-8E37-5A5581B35959}">
  <dimension ref="A1:B30"/>
  <sheetViews>
    <sheetView tabSelected="1" topLeftCell="A27" workbookViewId="0">
      <selection activeCell="A30" sqref="A30"/>
    </sheetView>
  </sheetViews>
  <sheetFormatPr defaultRowHeight="15"/>
  <cols>
    <col min="1" max="1" width="36.5703125" bestFit="1" customWidth="1"/>
    <col min="2" max="2" width="14.28515625" bestFit="1" customWidth="1"/>
  </cols>
  <sheetData>
    <row r="1" spans="1:2" ht="26.25">
      <c r="A1" s="31" t="s">
        <v>63</v>
      </c>
    </row>
    <row r="2" spans="1:2">
      <c r="A2" s="8" t="s">
        <v>79</v>
      </c>
    </row>
    <row r="5" spans="1:2">
      <c r="A5" s="8" t="s">
        <v>80</v>
      </c>
      <c r="B5" s="8" t="s">
        <v>24</v>
      </c>
    </row>
    <row r="6" spans="1:2">
      <c r="A6" s="2" t="s">
        <v>81</v>
      </c>
      <c r="B6" s="32">
        <v>264</v>
      </c>
    </row>
    <row r="7" spans="1:2">
      <c r="A7" s="2" t="s">
        <v>82</v>
      </c>
      <c r="B7" s="32">
        <v>79.13</v>
      </c>
    </row>
    <row r="8" spans="1:2">
      <c r="A8" s="2" t="s">
        <v>83</v>
      </c>
      <c r="B8" s="32">
        <v>147.27000000000001</v>
      </c>
    </row>
    <row r="9" spans="1:2">
      <c r="A9" s="2" t="s">
        <v>84</v>
      </c>
      <c r="B9" s="32">
        <v>220.5</v>
      </c>
    </row>
    <row r="10" spans="1:2">
      <c r="A10" s="2" t="s">
        <v>85</v>
      </c>
      <c r="B10" s="33">
        <f>(B8/B6)-1</f>
        <v>-0.44215909090909089</v>
      </c>
    </row>
    <row r="14" spans="1:2">
      <c r="A14" s="8" t="s">
        <v>86</v>
      </c>
    </row>
    <row r="16" spans="1:2" ht="201.75">
      <c r="A16" s="1" t="s">
        <v>87</v>
      </c>
    </row>
    <row r="19" spans="1:1">
      <c r="A19" s="8" t="s">
        <v>88</v>
      </c>
    </row>
    <row r="21" spans="1:1" ht="57.75">
      <c r="A21" s="1" t="s">
        <v>89</v>
      </c>
    </row>
    <row r="23" spans="1:1">
      <c r="A23" s="8" t="s">
        <v>90</v>
      </c>
    </row>
    <row r="25" spans="1:1" ht="144.75">
      <c r="A25" s="1" t="s">
        <v>91</v>
      </c>
    </row>
    <row r="28" spans="1:1">
      <c r="A28" s="8" t="s">
        <v>92</v>
      </c>
    </row>
    <row r="30" spans="1:1" ht="303.75">
      <c r="A30" s="1" t="s">
        <v>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2026-02-11T07:37:26Z</dcterms:created>
  <dcterms:modified xsi:type="dcterms:W3CDTF">2026-02-21T17:00:55Z</dcterms:modified>
  <cp:category/>
  <cp:contentStatus/>
</cp:coreProperties>
</file>