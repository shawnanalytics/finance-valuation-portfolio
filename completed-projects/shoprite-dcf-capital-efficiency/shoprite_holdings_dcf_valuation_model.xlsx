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D:\working\waccache\JN1PEPF0000276D\EXCELCNV\4f0e9b0e-3ee8-41bb-b043-d4d305316b88\"/>
    </mc:Choice>
  </mc:AlternateContent>
  <xr:revisionPtr revIDLastSave="0" documentId="8_{AA049F3B-169E-40C2-9D29-57598DAD1DB1}" xr6:coauthVersionLast="47" xr6:coauthVersionMax="47" xr10:uidLastSave="{00000000-0000-0000-0000-000000000000}"/>
  <bookViews>
    <workbookView xWindow="-60" yWindow="-60" windowWidth="15480" windowHeight="11640" firstSheet="18" activeTab="18" xr2:uid="{00000000-000D-0000-FFFF-FFFF00000000}"/>
  </bookViews>
  <sheets>
    <sheet name="00_Control" sheetId="1" r:id="rId1"/>
    <sheet name="01_Historical_Input" sheetId="2" r:id="rId2"/>
    <sheet name="02_Key_Assumptions_Bear" sheetId="3" r:id="rId3"/>
    <sheet name="02_Key_Assumptions_Base" sheetId="4" r:id="rId4"/>
    <sheet name="02_Key_Assumptions_Bull" sheetId="5" r:id="rId5"/>
    <sheet name="02_Key_Assumptions" sheetId="6" r:id="rId6"/>
    <sheet name="03_Revenue_Forecast" sheetId="7" r:id="rId7"/>
    <sheet name="04_Costs_&amp;_Margins" sheetId="8" r:id="rId8"/>
    <sheet name="05_Forecast_IS" sheetId="9" r:id="rId9"/>
    <sheet name="06_Forecast_CF_Base" sheetId="10" r:id="rId10"/>
    <sheet name="06_Forecast_CF_Bull" sheetId="11" r:id="rId11"/>
    <sheet name="06_Forecast_CF_Bear" sheetId="12" r:id="rId12"/>
    <sheet name="06_Forecast_CF" sheetId="13" r:id="rId13"/>
    <sheet name="07_Forecast_BS (lite)" sheetId="14" r:id="rId14"/>
    <sheet name="08_Valuation_Bear" sheetId="15" r:id="rId15"/>
    <sheet name="08_Valuation_Bull" sheetId="16" r:id="rId16"/>
    <sheet name="08_Valuation_Base" sheetId="17" r:id="rId17"/>
    <sheet name="08_Valuation" sheetId="18" r:id="rId18"/>
    <sheet name="09_Dashboard" sheetId="21" r:id="rId19"/>
    <sheet name="10_Investment_Summary" sheetId="20"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8" l="1"/>
  <c r="B2" i="17"/>
  <c r="B1" i="17"/>
  <c r="F5" i="8"/>
  <c r="E5" i="8"/>
  <c r="D5" i="8"/>
  <c r="C5" i="8"/>
  <c r="B5" i="8"/>
  <c r="F3" i="8"/>
  <c r="E3" i="8"/>
  <c r="D3" i="8"/>
  <c r="C3" i="8"/>
  <c r="B3" i="8"/>
  <c r="C9" i="7"/>
  <c r="C8" i="7"/>
  <c r="C7" i="7"/>
  <c r="C6" i="7"/>
  <c r="C5" i="7"/>
  <c r="B4" i="7"/>
  <c r="B3" i="7"/>
  <c r="B2" i="7"/>
  <c r="C3" i="7" l="1"/>
  <c r="B5" i="7"/>
  <c r="C4" i="7"/>
  <c r="B2" i="13" l="1"/>
  <c r="B2" i="12"/>
  <c r="B2" i="11"/>
  <c r="B2" i="10"/>
  <c r="B2" i="9"/>
  <c r="B2" i="8"/>
  <c r="B4" i="8" s="1"/>
  <c r="B6" i="7"/>
  <c r="C2" i="13" l="1"/>
  <c r="C2" i="12"/>
  <c r="C2" i="11"/>
  <c r="C2" i="10"/>
  <c r="C2" i="9"/>
  <c r="C2" i="8"/>
  <c r="C4" i="8" s="1"/>
  <c r="B7" i="7"/>
  <c r="B3" i="9"/>
  <c r="B6" i="8"/>
  <c r="B4" i="9" l="1"/>
  <c r="B7" i="8"/>
  <c r="D2" i="13"/>
  <c r="D2" i="12"/>
  <c r="D2" i="11"/>
  <c r="D2" i="10"/>
  <c r="D2" i="9"/>
  <c r="D2" i="8"/>
  <c r="D4" i="8" s="1"/>
  <c r="B8" i="7"/>
  <c r="C3" i="9"/>
  <c r="C6" i="8"/>
  <c r="C4" i="9" l="1"/>
  <c r="C7" i="8"/>
  <c r="E2" i="13"/>
  <c r="E2" i="12"/>
  <c r="E2" i="11"/>
  <c r="E2" i="10"/>
  <c r="E2" i="9"/>
  <c r="E2" i="8"/>
  <c r="E4" i="8" s="1"/>
  <c r="B9" i="7"/>
  <c r="D3" i="9"/>
  <c r="D6" i="8"/>
  <c r="B5" i="9"/>
  <c r="B6" i="9" s="1"/>
  <c r="B8" i="8"/>
  <c r="D4" i="9" l="1"/>
  <c r="D7" i="8"/>
  <c r="F2" i="13"/>
  <c r="F2" i="12"/>
  <c r="F2" i="11"/>
  <c r="F2" i="10"/>
  <c r="F2" i="9"/>
  <c r="F2" i="8"/>
  <c r="F4" i="8" s="1"/>
  <c r="E3" i="9"/>
  <c r="E6" i="8"/>
  <c r="C5" i="9"/>
  <c r="C6" i="9" s="1"/>
  <c r="C8" i="8"/>
  <c r="E4" i="9" l="1"/>
  <c r="E7" i="8"/>
  <c r="F3" i="9"/>
  <c r="F6" i="8"/>
  <c r="D5" i="9"/>
  <c r="D6" i="9" s="1"/>
  <c r="D8" i="8"/>
  <c r="F4" i="9" l="1"/>
  <c r="F7" i="8"/>
  <c r="E5" i="9"/>
  <c r="E6" i="9" s="1"/>
  <c r="E8" i="8"/>
  <c r="F5" i="9" l="1"/>
  <c r="F6" i="9" s="1"/>
  <c r="F8" i="8"/>
</calcChain>
</file>

<file path=xl/sharedStrings.xml><?xml version="1.0" encoding="utf-8"?>
<sst xmlns="http://schemas.openxmlformats.org/spreadsheetml/2006/main" count="356" uniqueCount="148">
  <si>
    <t>Model Name: Shoprite Financial Forecast &amp; Valuation</t>
  </si>
  <si>
    <t>Prepared by: Saun Sibanyoni</t>
  </si>
  <si>
    <t>Base Currency: ZAR (R million)</t>
  </si>
  <si>
    <t>Historical Period: FY2023-FY2025</t>
  </si>
  <si>
    <t>Forecast Period: FY2026-FY2030</t>
  </si>
  <si>
    <t>Valuation Date: FY2025 year-end</t>
  </si>
  <si>
    <t>Methodology: DCF + Multiples (Cross-check)</t>
  </si>
  <si>
    <t>Version: v1.0</t>
  </si>
  <si>
    <t>Item</t>
  </si>
  <si>
    <t>FY2023</t>
  </si>
  <si>
    <t>FY2024</t>
  </si>
  <si>
    <t>FY2025</t>
  </si>
  <si>
    <t>Revenue</t>
  </si>
  <si>
    <t>Operating profit</t>
  </si>
  <si>
    <t>Profit after tax</t>
  </si>
  <si>
    <t>Operating cash flow</t>
  </si>
  <si>
    <t>Capital expenditure</t>
  </si>
  <si>
    <t>Total assets</t>
  </si>
  <si>
    <t>Total equity</t>
  </si>
  <si>
    <t>Total liabilities</t>
  </si>
  <si>
    <t>Cash &amp; cash equivalents</t>
  </si>
  <si>
    <t>Interest-bearing borrowings</t>
  </si>
  <si>
    <t>Shares outstanding (millions)</t>
  </si>
  <si>
    <t>Assumption</t>
  </si>
  <si>
    <t>Value</t>
  </si>
  <si>
    <t>Notes</t>
  </si>
  <si>
    <t>Revenue Growth FY2026</t>
  </si>
  <si>
    <t>Revenue Growth FY2027</t>
  </si>
  <si>
    <t>Revenue Growth FY2028</t>
  </si>
  <si>
    <t>Revenue Growth FY2029</t>
  </si>
  <si>
    <t>Revenue Growth FY2030</t>
  </si>
  <si>
    <t>Operating Margin</t>
  </si>
  <si>
    <t>Tax Rate</t>
  </si>
  <si>
    <t>Operating Cash Flow Margin</t>
  </si>
  <si>
    <t>Capex % of Revenue</t>
  </si>
  <si>
    <t>WACC</t>
  </si>
  <si>
    <t>Terminal Growth Rate</t>
  </si>
  <si>
    <t>Forecast Period (Years)</t>
  </si>
  <si>
    <t>Year</t>
  </si>
  <si>
    <t>Growth %</t>
  </si>
  <si>
    <t>FY2026</t>
  </si>
  <si>
    <t>FY2027</t>
  </si>
  <si>
    <t>FY2028</t>
  </si>
  <si>
    <t>FY2029</t>
  </si>
  <si>
    <t>FY2030</t>
  </si>
  <si>
    <t>Operating margin</t>
  </si>
  <si>
    <t>Tax rate</t>
  </si>
  <si>
    <t>Tax expense</t>
  </si>
  <si>
    <t>Net margin %</t>
  </si>
  <si>
    <t>Line Item</t>
  </si>
  <si>
    <t>Capex</t>
  </si>
  <si>
    <t>Free cash flow</t>
  </si>
  <si>
    <t>Free Cash Flow</t>
  </si>
  <si>
    <t>Year Number</t>
  </si>
  <si>
    <t>Discount Factor</t>
  </si>
  <si>
    <t>Present Value of FCF</t>
  </si>
  <si>
    <t>Terminal Value (FY2030)</t>
  </si>
  <si>
    <t>PV of Terminal Value</t>
  </si>
  <si>
    <t>Enterprise Value</t>
  </si>
  <si>
    <t>Net Debt</t>
  </si>
  <si>
    <t>Equity Value</t>
  </si>
  <si>
    <t>Shares Outstanding (m)</t>
  </si>
  <si>
    <t>Implied Share Price (ZAR)</t>
  </si>
  <si>
    <t>NOTE: This sheet is a DEPRECATED draft scenario (pre-separation of Bear/Base/Bull). Do not use for analysis. Refer to 08_Valuation_Base, 08_Valuation_Bull, 08_Valuation_Bear.</t>
  </si>
  <si>
    <t>Column1</t>
  </si>
  <si>
    <t>Column2</t>
  </si>
  <si>
    <t>Column3</t>
  </si>
  <si>
    <t>Column4</t>
  </si>
  <si>
    <t>Column5</t>
  </si>
  <si>
    <t>SHOPRITE HOLDINGS LIMITED — Discounted Cash Flow Valuation &amp; Scenario Analysis</t>
  </si>
  <si>
    <t>Prepared by: Shawn Sibanyoni  |  Date: 19 February 2026  |  Market Price: R264.00  |  Source: Shoprite AFS FY2023–FY2025</t>
  </si>
  <si>
    <t>Implied Value (R)</t>
  </si>
  <si>
    <t>Market Price (R)</t>
  </si>
  <si>
    <t>Valuation Summary</t>
  </si>
  <si>
    <t>Key Assumptions Summary</t>
  </si>
  <si>
    <t>Bear</t>
  </si>
  <si>
    <t>Scenario</t>
  </si>
  <si>
    <t>(Discount) / Premium</t>
  </si>
  <si>
    <t>Base</t>
  </si>
  <si>
    <t>Bull</t>
  </si>
  <si>
    <t>Market Price</t>
  </si>
  <si>
    <t>R264,00</t>
  </si>
  <si>
    <t>—</t>
  </si>
  <si>
    <t>13,00%</t>
  </si>
  <si>
    <t>12,00%</t>
  </si>
  <si>
    <t>11,00%</t>
  </si>
  <si>
    <t>Bear Case</t>
  </si>
  <si>
    <t>R79,13</t>
  </si>
  <si>
    <t>-70,02%</t>
  </si>
  <si>
    <t>Terminal Growth</t>
  </si>
  <si>
    <t>2,50%</t>
  </si>
  <si>
    <t>3,00%</t>
  </si>
  <si>
    <t>3,50%</t>
  </si>
  <si>
    <t>Base Case</t>
  </si>
  <si>
    <t>R147,27</t>
  </si>
  <si>
    <t>-44,22%</t>
  </si>
  <si>
    <t>OCF Margin</t>
  </si>
  <si>
    <t>5,00%</t>
  </si>
  <si>
    <t>5,50%</t>
  </si>
  <si>
    <t>6,00%</t>
  </si>
  <si>
    <t>Bull Case</t>
  </si>
  <si>
    <t>R220,50</t>
  </si>
  <si>
    <t>-16,48%</t>
  </si>
  <si>
    <t>2,80%</t>
  </si>
  <si>
    <t>FCF Margin (derived)</t>
  </si>
  <si>
    <t>Scenario Comparison — Implied Value vs Market Price</t>
  </si>
  <si>
    <t>Historical FCF</t>
  </si>
  <si>
    <t>Upside / (Downside)</t>
  </si>
  <si>
    <t>Metric</t>
  </si>
  <si>
    <t>Operating CF (Rm)</t>
  </si>
  <si>
    <t>9 831</t>
  </si>
  <si>
    <t>13 841</t>
  </si>
  <si>
    <t>10 984</t>
  </si>
  <si>
    <t>Capex (Rm)</t>
  </si>
  <si>
    <t>6 229</t>
  </si>
  <si>
    <t>6 779</t>
  </si>
  <si>
    <t>7 365</t>
  </si>
  <si>
    <t>Free CF (Rm)</t>
  </si>
  <si>
    <t>3 602</t>
  </si>
  <si>
    <t>7 062</t>
  </si>
  <si>
    <t>3 619</t>
  </si>
  <si>
    <t>OCF Margin %</t>
  </si>
  <si>
    <t>4,5%</t>
  </si>
  <si>
    <t>5,6%</t>
  </si>
  <si>
    <t>4,3%</t>
  </si>
  <si>
    <t>FCF Margin %</t>
  </si>
  <si>
    <t>1,6%</t>
  </si>
  <si>
    <t>2,9%</t>
  </si>
  <si>
    <t>1,4%</t>
  </si>
  <si>
    <t>FCF Conv. (×PAT)</t>
  </si>
  <si>
    <t>0,57x</t>
  </si>
  <si>
    <t>1,08x</t>
  </si>
  <si>
    <t>0,49x</t>
  </si>
  <si>
    <t>SHOPRITE HOLDINGS</t>
  </si>
  <si>
    <t>Investment Summary – DCF Valuation</t>
  </si>
  <si>
    <t>Current Market Price</t>
  </si>
  <si>
    <t>Base Case Intrinsic Value</t>
  </si>
  <si>
    <t>Bear Case Value</t>
  </si>
  <si>
    <t>Bull Case Value</t>
  </si>
  <si>
    <t>Implied Upside / (Downside) – Base</t>
  </si>
  <si>
    <t>Investment View</t>
  </si>
  <si>
    <t>A discounted cash flow analysis indicates that Shoprite’s intrinsic value ranges between R79.13 and R220.50 per share across bear and bull scenarios. The base case valuation of R147.27 implies a downside of approximately 44% relative to the current market price of R264.00. Even under more optimistic operating assumptions, the valuation does not exceed the prevailing market price, suggesting that the stock is currently trading above fundamental value estimates derived from projected cash flows.</t>
  </si>
  <si>
    <t>Key Valuation Drivers</t>
  </si>
  <si>
    <t>Discount rate (WACC range: 11%–13%)
Terminal growth assumption (2.5%–3.5%)
Operating cash flow margin (5%–6%)
Capex intensity (2.8%–3.5%)</t>
  </si>
  <si>
    <t>Risks to The View</t>
  </si>
  <si>
    <t>Structural improvement in margins above modeled range
Lower cost of capital due to macro stabilization
Stronger-than-expected free cash flow growth
Multiple expansion driven by sentiment</t>
  </si>
  <si>
    <t>Closing Statement</t>
  </si>
  <si>
    <t>This valuation exercise demonstrates the application of fundamental discounted cash flow methodology to assess intrinsic equity value under varying macroeconomic and operational assumptions. While market pricing may reflect sentiment, momentum, and forward expectations beyond modeled inputs, the analysis provides a structured framework for evaluating valuation risk and return asymmetry. Based on projected free cash flows, cost of capital assumptions, and terminal growth parameters, the current market price appears to embed expectations materially above base-case intrinsic value estimates. The model therefore suggests limited margin of safety at present levels, reinforcing the importance of disciplined capital allocation and scenario-based 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</si>
</sst>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24">
    <font>
      <sz val="11"/>
      <color theme="1"/>
      <name val="Calibri"/>
      <family val="2"/>
      <scheme val="minor"/>
    </font>
    <font>
      <sz val="11"/>
      <color theme="1"/>
      <name val="Aptos Narrow"/>
    </font>
    <font>
      <b/>
      <sz val="11"/>
      <color theme="1"/>
      <name val="Aptos Narrow"/>
    </font>
    <font>
      <b/>
      <sz val="18"/>
      <color theme="1"/>
      <name val="Aptos Narrow"/>
    </font>
    <font>
      <sz val="11"/>
      <color rgb="FF000000"/>
      <name val="Aptos Narrow"/>
    </font>
    <font>
      <b/>
      <sz val="20"/>
      <color theme="1"/>
      <name val="Aptos Narrow"/>
    </font>
    <font>
      <b/>
      <sz val="11"/>
      <color rgb="FFFF0000"/>
      <name val="Calibri"/>
    </font>
    <font>
      <b/>
      <sz val="14"/>
      <color rgb="FFFFFFFF"/>
      <name val="Aptos Narrow"/>
    </font>
    <font>
      <sz val="9"/>
      <color rgb="FFAAAAAA"/>
      <name val="Aptos Narrow"/>
    </font>
    <font>
      <b/>
      <sz val="11"/>
      <color rgb="FFFFFFFF"/>
      <name val="Aptos Narrow"/>
    </font>
    <font>
      <b/>
      <sz val="10"/>
      <color rgb="FFFFFFFF"/>
      <name val="Aptos Narrow"/>
    </font>
    <font>
      <b/>
      <sz val="10"/>
      <color rgb="FF000000"/>
      <name val="Aptos Narrow"/>
    </font>
    <font>
      <b/>
      <sz val="11"/>
      <color rgb="FF000000"/>
      <name val="Aptos Narrow"/>
    </font>
    <font>
      <sz val="10"/>
      <color rgb="FF595959"/>
      <name val="Aptos Narrow"/>
    </font>
    <font>
      <sz val="10"/>
      <name val="Aptos Narrow"/>
    </font>
    <font>
      <b/>
      <sz val="10"/>
      <color rgb="FFC00000"/>
      <name val="Aptos Narrow"/>
    </font>
    <font>
      <b/>
      <sz val="11"/>
      <color rgb="FFC00000"/>
      <name val="Aptos Narrow"/>
    </font>
    <font>
      <b/>
      <sz val="10"/>
      <color rgb="FF7F3F00"/>
      <name val="Aptos Narrow"/>
    </font>
    <font>
      <b/>
      <sz val="11"/>
      <color rgb="FF7F3F00"/>
      <name val="Aptos Narrow"/>
    </font>
    <font>
      <b/>
      <sz val="10"/>
      <color rgb="FF375623"/>
      <name val="Aptos Narrow"/>
    </font>
    <font>
      <b/>
      <sz val="11"/>
      <color rgb="FF375623"/>
      <name val="Aptos Narrow"/>
    </font>
    <font>
      <sz val="11"/>
      <color rgb="FF000000"/>
      <name val="Calibri"/>
      <family val="2"/>
    </font>
    <font>
      <sz val="10"/>
      <color rgb="FF000000"/>
      <name val="Aptos Narrow"/>
    </font>
    <font>
      <b/>
      <sz val="10"/>
      <color rgb="FF2E75B6"/>
      <name val="Aptos Narrow"/>
    </font>
  </fonts>
  <fills count="13">
    <fill>
      <patternFill patternType="none"/>
    </fill>
    <fill>
      <patternFill patternType="gray125"/>
    </fill>
    <fill>
      <patternFill patternType="solid">
        <fgColor theme="0" tint="-4.9989318521683403E-2"/>
        <bgColor indexed="64"/>
      </patternFill>
    </fill>
    <fill>
      <patternFill patternType="solid">
        <fgColor rgb="FFFFEEEE"/>
        <bgColor rgb="FFFFEEEE"/>
      </patternFill>
    </fill>
    <fill>
      <patternFill patternType="solid">
        <fgColor rgb="FF1F3864"/>
        <bgColor rgb="FF000000"/>
      </patternFill>
    </fill>
    <fill>
      <patternFill patternType="solid">
        <fgColor rgb="FFFFFFFF"/>
        <bgColor rgb="FF000000"/>
      </patternFill>
    </fill>
    <fill>
      <patternFill patternType="solid">
        <fgColor rgb="FF2E75B6"/>
        <bgColor rgb="FF000000"/>
      </patternFill>
    </fill>
    <fill>
      <patternFill patternType="solid">
        <fgColor rgb="FFEBF3F9"/>
        <bgColor rgb="FF000000"/>
      </patternFill>
    </fill>
    <fill>
      <patternFill patternType="solid">
        <fgColor rgb="FFF5F5F5"/>
        <bgColor rgb="FF000000"/>
      </patternFill>
    </fill>
    <fill>
      <patternFill patternType="solid">
        <fgColor rgb="FFFDECEA"/>
        <bgColor rgb="FF000000"/>
      </patternFill>
    </fill>
    <fill>
      <patternFill patternType="solid">
        <fgColor rgb="FFFFF8E7"/>
        <bgColor rgb="FF000000"/>
      </patternFill>
    </fill>
    <fill>
      <patternFill patternType="solid">
        <fgColor rgb="FFEDF7ED"/>
        <bgColor rgb="FF000000"/>
      </patternFill>
    </fill>
    <fill>
      <patternFill patternType="solid">
        <fgColor rgb="FFE8F4FD"/>
        <bgColor rgb="FF000000"/>
      </patternFill>
    </fill>
  </fills>
  <borders count="6">
    <border>
      <left/>
      <right/>
      <top/>
      <bottom/>
      <diagonal/>
    </border>
    <border>
      <left style="medium">
        <color rgb="FF999999"/>
      </left>
      <right style="medium">
        <color rgb="FF999999"/>
      </right>
      <top style="medium">
        <color rgb="FF999999"/>
      </top>
      <bottom style="medium">
        <color rgb="FF999999"/>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3">
    <xf numFmtId="0" fontId="0" fillId="0" borderId="0" xfId="0"/>
    <xf numFmtId="0" fontId="1" fillId="0" borderId="0" xfId="0" applyFont="1" applyAlignment="1">
      <alignment wrapText="1"/>
    </xf>
    <xf numFmtId="0" fontId="1" fillId="0" borderId="0" xfId="0" applyFont="1"/>
    <xf numFmtId="0" fontId="2" fillId="2" borderId="0" xfId="0" applyFont="1" applyFill="1" applyAlignment="1">
      <alignment wrapText="1"/>
    </xf>
    <xf numFmtId="0" fontId="3" fillId="2" borderId="0" xfId="0" applyFont="1" applyFill="1" applyAlignment="1">
      <alignment wrapText="1"/>
    </xf>
    <xf numFmtId="0" fontId="4" fillId="0" borderId="0" xfId="0" applyFont="1"/>
    <xf numFmtId="10" fontId="1" fillId="0" borderId="0" xfId="0" applyNumberFormat="1" applyFont="1"/>
    <xf numFmtId="0" fontId="2" fillId="0" borderId="0" xfId="0" applyFont="1"/>
    <xf numFmtId="1" fontId="1" fillId="0" borderId="0" xfId="0" applyNumberFormat="1" applyFont="1"/>
    <xf numFmtId="2" fontId="1" fillId="0" borderId="0" xfId="0" applyNumberFormat="1" applyFont="1"/>
    <xf numFmtId="2" fontId="1" fillId="0" borderId="0" xfId="0" applyNumberFormat="1" applyFont="1" applyAlignment="1">
      <alignment wrapText="1"/>
    </xf>
    <xf numFmtId="0" fontId="5" fillId="0" borderId="0" xfId="0" applyFont="1"/>
    <xf numFmtId="164" fontId="1" fillId="0" borderId="0" xfId="0" quotePrefix="1" applyNumberFormat="1" applyFont="1"/>
    <xf numFmtId="10" fontId="1" fillId="0" borderId="0" xfId="0" quotePrefix="1" applyNumberFormat="1" applyFont="1"/>
    <xf numFmtId="0" fontId="6" fillId="3" borderId="0" xfId="0" applyFont="1" applyFill="1"/>
    <xf numFmtId="0" fontId="8" fillId="5" borderId="1" xfId="0" applyFont="1" applyFill="1" applyBorder="1" applyAlignment="1"/>
    <xf numFmtId="0" fontId="4" fillId="0" borderId="0" xfId="0" applyFont="1" applyBorder="1" applyAlignment="1"/>
    <xf numFmtId="0" fontId="10" fillId="6" borderId="5" xfId="0" applyFont="1" applyFill="1" applyBorder="1" applyAlignment="1"/>
    <xf numFmtId="0" fontId="10" fillId="6" borderId="5" xfId="0" applyFont="1" applyFill="1" applyBorder="1" applyAlignment="1">
      <alignment wrapText="1"/>
    </xf>
    <xf numFmtId="0" fontId="11" fillId="7" borderId="5" xfId="0" applyFont="1" applyFill="1" applyBorder="1" applyAlignment="1"/>
    <xf numFmtId="0" fontId="12" fillId="7" borderId="5" xfId="0" applyFont="1" applyFill="1" applyBorder="1" applyAlignment="1"/>
    <xf numFmtId="0" fontId="13" fillId="7" borderId="5" xfId="0" applyFont="1" applyFill="1" applyBorder="1" applyAlignment="1"/>
    <xf numFmtId="0" fontId="11" fillId="8" borderId="5" xfId="0" applyFont="1" applyFill="1" applyBorder="1" applyAlignment="1"/>
    <xf numFmtId="0" fontId="15" fillId="9" borderId="5" xfId="0" applyFont="1" applyFill="1" applyBorder="1" applyAlignment="1"/>
    <xf numFmtId="0" fontId="16" fillId="9" borderId="5" xfId="0" applyFont="1" applyFill="1" applyBorder="1" applyAlignment="1"/>
    <xf numFmtId="0" fontId="13" fillId="9" borderId="5" xfId="0" applyFont="1" applyFill="1" applyBorder="1" applyAlignment="1"/>
    <xf numFmtId="0" fontId="15" fillId="9" borderId="5" xfId="0" quotePrefix="1" applyFont="1" applyFill="1" applyBorder="1" applyAlignment="1"/>
    <xf numFmtId="0" fontId="11" fillId="5" borderId="5" xfId="0" applyFont="1" applyFill="1" applyBorder="1" applyAlignment="1"/>
    <xf numFmtId="0" fontId="17" fillId="10" borderId="5" xfId="0" applyFont="1" applyFill="1" applyBorder="1" applyAlignment="1"/>
    <xf numFmtId="0" fontId="18" fillId="10" borderId="5" xfId="0" applyFont="1" applyFill="1" applyBorder="1" applyAlignment="1"/>
    <xf numFmtId="0" fontId="13" fillId="10" borderId="5" xfId="0" applyFont="1" applyFill="1" applyBorder="1" applyAlignment="1"/>
    <xf numFmtId="0" fontId="17" fillId="10" borderId="5" xfId="0" quotePrefix="1" applyFont="1" applyFill="1" applyBorder="1" applyAlignment="1"/>
    <xf numFmtId="0" fontId="19" fillId="11" borderId="5" xfId="0" applyFont="1" applyFill="1" applyBorder="1" applyAlignment="1"/>
    <xf numFmtId="0" fontId="20" fillId="11" borderId="5" xfId="0" applyFont="1" applyFill="1" applyBorder="1" applyAlignment="1"/>
    <xf numFmtId="0" fontId="13" fillId="11" borderId="5" xfId="0" applyFont="1" applyFill="1" applyBorder="1" applyAlignment="1"/>
    <xf numFmtId="0" fontId="19" fillId="11" borderId="5" xfId="0" quotePrefix="1" applyFont="1" applyFill="1" applyBorder="1" applyAlignment="1"/>
    <xf numFmtId="10" fontId="14" fillId="8" borderId="5" xfId="0" applyNumberFormat="1" applyFont="1" applyFill="1" applyBorder="1" applyAlignment="1"/>
    <xf numFmtId="0" fontId="21" fillId="0" borderId="0" xfId="0" applyFont="1" applyBorder="1" applyAlignment="1"/>
    <xf numFmtId="0" fontId="22" fillId="8" borderId="5" xfId="0" applyFont="1" applyFill="1" applyBorder="1" applyAlignment="1"/>
    <xf numFmtId="0" fontId="22" fillId="5" borderId="5" xfId="0" applyFont="1" applyFill="1" applyBorder="1" applyAlignment="1"/>
    <xf numFmtId="0" fontId="23" fillId="12" borderId="5" xfId="0" applyFont="1" applyFill="1" applyBorder="1" applyAlignment="1"/>
    <xf numFmtId="10" fontId="14" fillId="8" borderId="5" xfId="0" applyNumberFormat="1" applyFont="1" applyFill="1" applyBorder="1" applyAlignment="1">
      <alignment horizontal="right"/>
    </xf>
    <xf numFmtId="10" fontId="14" fillId="5" borderId="5" xfId="0" applyNumberFormat="1" applyFont="1" applyFill="1" applyBorder="1" applyAlignment="1">
      <alignment horizontal="right"/>
    </xf>
    <xf numFmtId="0" fontId="9" fillId="6" borderId="2" xfId="0" applyFont="1" applyFill="1" applyBorder="1" applyAlignment="1"/>
    <xf numFmtId="0" fontId="9" fillId="6" borderId="3" xfId="0" applyFont="1" applyFill="1" applyBorder="1" applyAlignment="1"/>
    <xf numFmtId="0" fontId="9" fillId="6" borderId="4" xfId="0" applyFont="1" applyFill="1" applyBorder="1" applyAlignment="1"/>
    <xf numFmtId="0" fontId="7" fillId="4" borderId="2" xfId="0" applyFont="1" applyFill="1" applyBorder="1" applyAlignment="1"/>
    <xf numFmtId="0" fontId="7" fillId="4" borderId="3" xfId="0" applyFont="1" applyFill="1" applyBorder="1" applyAlignment="1"/>
    <xf numFmtId="0" fontId="7" fillId="4" borderId="4" xfId="0" applyFont="1" applyFill="1" applyBorder="1" applyAlignment="1"/>
    <xf numFmtId="0" fontId="8" fillId="4" borderId="2" xfId="0" applyFont="1" applyFill="1" applyBorder="1" applyAlignment="1"/>
    <xf numFmtId="0" fontId="8" fillId="4" borderId="3" xfId="0" applyFont="1" applyFill="1" applyBorder="1" applyAlignment="1"/>
    <xf numFmtId="0" fontId="8" fillId="4" borderId="4" xfId="0" applyFont="1" applyFill="1" applyBorder="1" applyAlignment="1"/>
    <xf numFmtId="0" fontId="4" fillId="0" borderId="0" xfId="0" applyFont="1" applyBorder="1" applyAlignment="1"/>
  </cellXfs>
  <cellStyles count="1">
    <cellStyle name="Normal" xfId="0" builtinId="0"/>
  </cellStyles>
  <dxfs count="82">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numFmt numFmtId="2" formatCode="0.00"/>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numFmt numFmtId="14" formatCode="0.00%"/>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
      <font>
        <strike val="0"/>
        <condense val="0"/>
        <extend val="0"/>
        <outline val="0"/>
        <shadow val="0"/>
        <vertAlign val="baseline"/>
        <sz val="11"/>
        <color theme="1"/>
        <name val="Aptos Narrow"/>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Implied Equity Value vs Current Market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'09_Dashboard'!$L$3</c:f>
              <c:strCache>
                <c:ptCount val="1"/>
                <c:pt idx="0">
                  <c:v>Implied Value (R)</c:v>
                </c:pt>
              </c:strCache>
            </c:strRef>
          </c:tx>
          <c:spPr>
            <a:solidFill>
              <a:srgbClr val="203764"/>
            </a:solidFill>
            <a:ln>
              <a:noFill/>
            </a:ln>
            <a:effectLst/>
          </c:spPr>
          <c:invertIfNegative val="0"/>
          <c:cat>
            <c:strRef>
              <c:f>'09_Dashboard'!$K$4:$K$6</c:f>
              <c:strCache>
                <c:ptCount val="3"/>
                <c:pt idx="0">
                  <c:v>Bear</c:v>
                </c:pt>
                <c:pt idx="1">
                  <c:v>Base</c:v>
                </c:pt>
                <c:pt idx="2">
                  <c:v>Bull</c:v>
                </c:pt>
              </c:strCache>
            </c:strRef>
          </c:cat>
          <c:val>
            <c:numRef>
              <c:f>'09_Dashboard'!$L$4:$L$6</c:f>
              <c:numCache>
                <c:formatCode>General</c:formatCode>
                <c:ptCount val="3"/>
                <c:pt idx="0">
                  <c:v>79.13</c:v>
                </c:pt>
                <c:pt idx="1">
                  <c:v>147.27000000000001</c:v>
                </c:pt>
                <c:pt idx="2">
                  <c:v>220.5</c:v>
                </c:pt>
              </c:numCache>
            </c:numRef>
          </c:val>
          <c:extLst>
            <c:ext xmlns:c16="http://schemas.microsoft.com/office/drawing/2014/chart" uri="{C3380CC4-5D6E-409C-BE32-E72D297353CC}">
              <c16:uniqueId val="{00000000-521C-4B7A-B504-9A30245EF9F3}"/>
            </c:ext>
          </c:extLst>
        </c:ser>
        <c:dLbls>
          <c:showLegendKey val="0"/>
          <c:showVal val="0"/>
          <c:showCatName val="0"/>
          <c:showSerName val="0"/>
          <c:showPercent val="0"/>
          <c:showBubbleSize val="0"/>
        </c:dLbls>
        <c:gapWidth val="219"/>
        <c:axId val="1486118407"/>
        <c:axId val="1901751303"/>
      </c:barChart>
      <c:lineChart>
        <c:grouping val="standard"/>
        <c:varyColors val="0"/>
        <c:ser>
          <c:idx val="1"/>
          <c:order val="1"/>
          <c:tx>
            <c:strRef>
              <c:f>'09_Dashboard'!$M$3</c:f>
              <c:strCache>
                <c:ptCount val="1"/>
                <c:pt idx="0">
                  <c:v>Market Price (R)</c:v>
                </c:pt>
              </c:strCache>
            </c:strRef>
          </c:tx>
          <c:spPr>
            <a:ln w="28575" cap="rnd">
              <a:solidFill>
                <a:srgbClr val="C00000"/>
              </a:solidFill>
              <a:prstDash val="solid"/>
              <a:round/>
            </a:ln>
            <a:effectLst/>
          </c:spPr>
          <c:marker>
            <c:symbol val="none"/>
          </c:marker>
          <c:cat>
            <c:strRef>
              <c:f>'09_Dashboard'!$K$4:$K$6</c:f>
              <c:strCache>
                <c:ptCount val="3"/>
                <c:pt idx="0">
                  <c:v>Bear</c:v>
                </c:pt>
                <c:pt idx="1">
                  <c:v>Base</c:v>
                </c:pt>
                <c:pt idx="2">
                  <c:v>Bull</c:v>
                </c:pt>
              </c:strCache>
            </c:strRef>
          </c:cat>
          <c:val>
            <c:numRef>
              <c:f>'09_Dashboard'!$M$4:$M$6</c:f>
              <c:numCache>
                <c:formatCode>General</c:formatCode>
                <c:ptCount val="3"/>
                <c:pt idx="0">
                  <c:v>264</c:v>
                </c:pt>
                <c:pt idx="1">
                  <c:v>264</c:v>
                </c:pt>
                <c:pt idx="2">
                  <c:v>264</c:v>
                </c:pt>
              </c:numCache>
            </c:numRef>
          </c:val>
          <c:smooth val="0"/>
          <c:extLst>
            <c:ext xmlns:c16="http://schemas.microsoft.com/office/drawing/2014/chart" uri="{C3380CC4-5D6E-409C-BE32-E72D297353CC}">
              <c16:uniqueId val="{00000002-521C-4B7A-B504-9A30245EF9F3}"/>
            </c:ext>
          </c:extLst>
        </c:ser>
        <c:dLbls>
          <c:showLegendKey val="0"/>
          <c:showVal val="0"/>
          <c:showCatName val="0"/>
          <c:showSerName val="0"/>
          <c:showPercent val="0"/>
          <c:showBubbleSize val="0"/>
        </c:dLbls>
        <c:marker val="1"/>
        <c:smooth val="0"/>
        <c:axId val="1486118407"/>
        <c:axId val="1901751303"/>
      </c:lineChart>
      <c:catAx>
        <c:axId val="1486118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751303"/>
        <c:crosses val="autoZero"/>
        <c:auto val="1"/>
        <c:lblAlgn val="ctr"/>
        <c:lblOffset val="100"/>
        <c:noMultiLvlLbl val="0"/>
      </c:catAx>
      <c:valAx>
        <c:axId val="1901751303"/>
        <c:scaling>
          <c:orientation val="minMax"/>
        </c:scaling>
        <c:delete val="0"/>
        <c:axPos val="l"/>
        <c:majorGridlines>
          <c:spPr>
            <a:ln w="9525" cap="flat" cmpd="sng" algn="ctr">
              <a:solidFill>
                <a:schemeClr val="tx1">
                  <a:lumMod val="15000"/>
                  <a:lumOff val="85000"/>
                </a:schemeClr>
              </a:solidFill>
              <a:round/>
            </a:ln>
            <a:effectLst/>
          </c:spPr>
        </c:majorGridlines>
        <c:numFmt formatCode="&quot;R&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18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7</xdr:row>
      <xdr:rowOff>0</xdr:rowOff>
    </xdr:from>
    <xdr:to>
      <xdr:col>16</xdr:col>
      <xdr:colOff>0</xdr:colOff>
      <xdr:row>18</xdr:row>
      <xdr:rowOff>180975</xdr:rowOff>
    </xdr:to>
    <xdr:graphicFrame macro="">
      <xdr:nvGraphicFramePr>
        <xdr:cNvPr id="6" name="Chart 5">
          <a:extLst>
            <a:ext uri="{FF2B5EF4-FFF2-40B4-BE49-F238E27FC236}">
              <a16:creationId xmlns:a16="http://schemas.microsoft.com/office/drawing/2014/main" id="{633C249B-A340-BDCE-D1C8-FEABC52DA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12" totalsRowShown="0" headerRowDxfId="81" dataDxfId="80">
  <autoFilter ref="A1:D12" xr:uid="{00000000-0009-0000-0100-000001000000}"/>
  <tableColumns count="4">
    <tableColumn id="1" xr3:uid="{00000000-0010-0000-0000-000001000000}" name="Item" dataDxfId="79"/>
    <tableColumn id="2" xr3:uid="{00000000-0010-0000-0000-000002000000}" name="FY2023" dataDxfId="78"/>
    <tableColumn id="3" xr3:uid="{00000000-0010-0000-0000-000003000000}" name="FY2024" dataDxfId="77"/>
    <tableColumn id="4" xr3:uid="{00000000-0010-0000-0000-000004000000}" name="FY2025" dataDxfId="7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C9" totalsRowShown="0" headerRowDxfId="75">
  <autoFilter ref="A1:C9" xr:uid="{00000000-0009-0000-0100-000002000000}"/>
  <tableColumns count="3">
    <tableColumn id="1" xr3:uid="{00000000-0010-0000-0100-000001000000}" name="Year" dataDxfId="74"/>
    <tableColumn id="2" xr3:uid="{00000000-0010-0000-0100-000002000000}" name="Revenue" dataDxfId="73">
      <calculatedColumnFormula>B1*(1+C2)</calculatedColumnFormula>
    </tableColumn>
    <tableColumn id="3" xr3:uid="{00000000-0010-0000-0100-000003000000}" name="Growth %" dataDxfId="72"/>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F8" totalsRowShown="0" headerRowDxfId="71" dataDxfId="70">
  <autoFilter ref="A1:F8" xr:uid="{00000000-0009-0000-0100-000003000000}"/>
  <tableColumns count="6">
    <tableColumn id="1" xr3:uid="{00000000-0010-0000-0200-000001000000}" name="Year" dataDxfId="69"/>
    <tableColumn id="2" xr3:uid="{00000000-0010-0000-0200-000002000000}" name="FY2026" dataDxfId="68"/>
    <tableColumn id="3" xr3:uid="{00000000-0010-0000-0200-000003000000}" name="FY2027" dataDxfId="67"/>
    <tableColumn id="4" xr3:uid="{00000000-0010-0000-0200-000004000000}" name="FY2028" dataDxfId="66"/>
    <tableColumn id="5" xr3:uid="{00000000-0010-0000-0200-000005000000}" name="FY2029" dataDxfId="65"/>
    <tableColumn id="6" xr3:uid="{00000000-0010-0000-0200-000006000000}" name="FY2030" dataDxfId="64"/>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1:F6" totalsRowShown="0" headerRowDxfId="63" dataDxfId="62">
  <autoFilter ref="A1:F6" xr:uid="{00000000-0009-0000-0100-000004000000}"/>
  <tableColumns count="6">
    <tableColumn id="1" xr3:uid="{00000000-0010-0000-0300-000001000000}" name="Line Item" dataDxfId="61"/>
    <tableColumn id="2" xr3:uid="{00000000-0010-0000-0300-000002000000}" name="FY2026" dataDxfId="60"/>
    <tableColumn id="3" xr3:uid="{00000000-0010-0000-0300-000003000000}" name="FY2027" dataDxfId="59"/>
    <tableColumn id="4" xr3:uid="{00000000-0010-0000-0300-000004000000}" name="FY2028" dataDxfId="58"/>
    <tableColumn id="5" xr3:uid="{00000000-0010-0000-0300-000005000000}" name="FY2029" dataDxfId="57"/>
    <tableColumn id="6" xr3:uid="{00000000-0010-0000-0300-000006000000}" name="FY2030" dataDxfId="56"/>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F5" totalsRowShown="0" headerRowDxfId="55" dataDxfId="54">
  <autoFilter ref="A1:F5" xr:uid="{00000000-0009-0000-0100-000005000000}"/>
  <tableColumns count="6">
    <tableColumn id="1" xr3:uid="{00000000-0010-0000-0400-000001000000}" name="Year" dataDxfId="53"/>
    <tableColumn id="2" xr3:uid="{00000000-0010-0000-0400-000002000000}" name="FY2026"/>
    <tableColumn id="3" xr3:uid="{00000000-0010-0000-0400-000003000000}" name="FY2027"/>
    <tableColumn id="4" xr3:uid="{00000000-0010-0000-0400-000004000000}" name="FY2028" dataDxfId="52"/>
    <tableColumn id="5" xr3:uid="{00000000-0010-0000-0400-000005000000}" name="FY2029" dataDxfId="51"/>
    <tableColumn id="6" xr3:uid="{00000000-0010-0000-0400-000006000000}" name="FY2030" dataDxfId="50"/>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1:F5" totalsRowShown="0" headerRowDxfId="49" dataDxfId="48">
  <autoFilter ref="A1:F5" xr:uid="{00000000-0009-0000-0100-000006000000}"/>
  <tableColumns count="6">
    <tableColumn id="1" xr3:uid="{00000000-0010-0000-0500-000001000000}" name="Year" dataDxfId="47"/>
    <tableColumn id="2" xr3:uid="{00000000-0010-0000-0500-000002000000}" name="FY2026"/>
    <tableColumn id="3" xr3:uid="{00000000-0010-0000-0500-000003000000}" name="FY2027"/>
    <tableColumn id="4" xr3:uid="{00000000-0010-0000-0500-000004000000}" name="FY2028" dataDxfId="46"/>
    <tableColumn id="5" xr3:uid="{00000000-0010-0000-0500-000005000000}" name="FY2029" dataDxfId="45"/>
    <tableColumn id="6" xr3:uid="{00000000-0010-0000-0500-000006000000}" name="FY2030" dataDxfId="44"/>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1:F5" totalsRowShown="0" headerRowDxfId="43" dataDxfId="42">
  <autoFilter ref="A1:F5" xr:uid="{00000000-0009-0000-0100-000007000000}"/>
  <tableColumns count="6">
    <tableColumn id="1" xr3:uid="{00000000-0010-0000-0600-000001000000}" name="Year" dataDxfId="41"/>
    <tableColumn id="2" xr3:uid="{00000000-0010-0000-0600-000002000000}" name="FY2026"/>
    <tableColumn id="3" xr3:uid="{00000000-0010-0000-0600-000003000000}" name="FY2027"/>
    <tableColumn id="4" xr3:uid="{00000000-0010-0000-0600-000004000000}" name="FY2028" dataDxfId="40"/>
    <tableColumn id="5" xr3:uid="{00000000-0010-0000-0600-000005000000}" name="FY2029" dataDxfId="39"/>
    <tableColumn id="6" xr3:uid="{00000000-0010-0000-0600-000006000000}" name="FY2030" dataDxfId="38"/>
  </tableColumns>
  <tableStyleInfo name="TableStyleLight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1:F5" totalsRowShown="0" headerRowDxfId="37" dataDxfId="36">
  <autoFilter ref="A1:F5" xr:uid="{00000000-0009-0000-0100-000008000000}"/>
  <tableColumns count="6">
    <tableColumn id="1" xr3:uid="{00000000-0010-0000-0700-000001000000}" name="Year" dataDxfId="35"/>
    <tableColumn id="2" xr3:uid="{00000000-0010-0000-0700-000002000000}" name="FY2026"/>
    <tableColumn id="3" xr3:uid="{00000000-0010-0000-0700-000003000000}" name="FY2027"/>
    <tableColumn id="4" xr3:uid="{00000000-0010-0000-0700-000004000000}" name="FY2028" dataDxfId="34"/>
    <tableColumn id="5" xr3:uid="{00000000-0010-0000-0700-000005000000}" name="FY2029" dataDxfId="33"/>
    <tableColumn id="6" xr3:uid="{00000000-0010-0000-0700-000006000000}" name="FY2030" dataDxfId="32"/>
  </tableColumns>
  <tableStyleInfo name="TableStyleLight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4:F8" totalsRowShown="0" headerRowDxfId="31" dataDxfId="30">
  <autoFilter ref="A4:F8" xr:uid="{00000000-0009-0000-0100-000009000000}"/>
  <tableColumns count="6">
    <tableColumn id="1" xr3:uid="{00000000-0010-0000-0800-000001000000}" name="Year" dataDxfId="29"/>
    <tableColumn id="2" xr3:uid="{00000000-0010-0000-0800-000002000000}" name="FY2026" dataDxfId="28"/>
    <tableColumn id="3" xr3:uid="{00000000-0010-0000-0800-000003000000}" name="FY2027" dataDxfId="27"/>
    <tableColumn id="4" xr3:uid="{00000000-0010-0000-0800-000004000000}" name="FY2028" dataDxfId="26"/>
    <tableColumn id="5" xr3:uid="{00000000-0010-0000-0800-000005000000}" name="FY2029" dataDxfId="25"/>
    <tableColumn id="6" xr3:uid="{00000000-0010-0000-0800-000006000000}" name="FY2030" dataDxfId="24"/>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4:F8" totalsRowShown="0" headerRowDxfId="23" dataDxfId="22">
  <autoFilter ref="A4:F8" xr:uid="{00000000-0009-0000-0100-00000A000000}"/>
  <tableColumns count="6">
    <tableColumn id="1" xr3:uid="{00000000-0010-0000-0900-000001000000}" name="Year" dataDxfId="21"/>
    <tableColumn id="2" xr3:uid="{00000000-0010-0000-0900-000002000000}" name="FY2026" dataDxfId="20"/>
    <tableColumn id="3" xr3:uid="{00000000-0010-0000-0900-000003000000}" name="FY2027" dataDxfId="19"/>
    <tableColumn id="4" xr3:uid="{00000000-0010-0000-0900-000004000000}" name="FY2028" dataDxfId="18"/>
    <tableColumn id="5" xr3:uid="{00000000-0010-0000-0900-000005000000}" name="FY2029" dataDxfId="17"/>
    <tableColumn id="6" xr3:uid="{00000000-0010-0000-0900-000006000000}" name="FY2030" dataDxfId="16"/>
  </tableColumns>
  <tableStyleInfo name="TableStyleLight2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F8" totalsRowShown="0" headerRowDxfId="15" dataDxfId="14">
  <autoFilter ref="A4:F8" xr:uid="{00000000-0009-0000-0100-00000B000000}"/>
  <tableColumns count="6">
    <tableColumn id="1" xr3:uid="{00000000-0010-0000-0A00-000001000000}" name="Year" dataDxfId="13"/>
    <tableColumn id="2" xr3:uid="{00000000-0010-0000-0A00-000002000000}" name="FY2026" dataDxfId="12"/>
    <tableColumn id="3" xr3:uid="{00000000-0010-0000-0A00-000003000000}" name="FY2027" dataDxfId="11"/>
    <tableColumn id="4" xr3:uid="{00000000-0010-0000-0A00-000004000000}" name="FY2028" dataDxfId="10"/>
    <tableColumn id="5" xr3:uid="{00000000-0010-0000-0A00-000005000000}" name="FY2029" dataDxfId="9"/>
    <tableColumn id="6" xr3:uid="{00000000-0010-0000-0A00-000006000000}" name="FY2030" dataDxfId="8"/>
  </tableColumns>
  <tableStyleInfo name="TableStyleLight2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4:F10" totalsRowShown="0" headerRowDxfId="7" dataDxfId="6">
  <autoFilter ref="A4:F10" xr:uid="{00000000-0009-0000-0100-00000C000000}"/>
  <tableColumns count="6">
    <tableColumn id="1" xr3:uid="{00000000-0010-0000-0B00-000001000000}" name="Terminal Growth Rate" dataDxfId="5"/>
    <tableColumn id="2" xr3:uid="{00000000-0010-0000-0B00-000002000000}" name="Column1" dataDxfId="4"/>
    <tableColumn id="3" xr3:uid="{00000000-0010-0000-0B00-000003000000}" name="Column2" dataDxfId="3"/>
    <tableColumn id="4" xr3:uid="{00000000-0010-0000-0B00-000004000000}" name="Column3" dataDxfId="2"/>
    <tableColumn id="5" xr3:uid="{00000000-0010-0000-0B00-000005000000}" name="Column4" dataDxfId="1"/>
    <tableColumn id="6" xr3:uid="{00000000-0010-0000-0B00-000006000000}" name="Column5"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workbookViewId="0">
      <selection activeCell="A10" sqref="A10"/>
    </sheetView>
  </sheetViews>
  <sheetFormatPr defaultRowHeight="15"/>
  <cols>
    <col min="1" max="1" width="54.7109375" customWidth="1"/>
  </cols>
  <sheetData>
    <row r="1" spans="1:1" ht="68.25" customHeight="1">
      <c r="A1" s="4" t="s">
        <v>0</v>
      </c>
    </row>
    <row r="2" spans="1:1">
      <c r="A2" s="3"/>
    </row>
    <row r="3" spans="1:1">
      <c r="A3" s="2" t="s">
        <v>1</v>
      </c>
    </row>
    <row r="4" spans="1:1">
      <c r="A4" s="2" t="s">
        <v>2</v>
      </c>
    </row>
    <row r="5" spans="1:1">
      <c r="A5" s="2" t="s">
        <v>3</v>
      </c>
    </row>
    <row r="6" spans="1:1">
      <c r="A6" s="2" t="s">
        <v>4</v>
      </c>
    </row>
    <row r="7" spans="1:1">
      <c r="A7" s="2" t="s">
        <v>5</v>
      </c>
    </row>
    <row r="8" spans="1:1" ht="29.25" customHeight="1">
      <c r="A8" s="1" t="s">
        <v>6</v>
      </c>
    </row>
    <row r="9" spans="1:1">
      <c r="A9" s="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F14" sqref="F14"/>
    </sheetView>
  </sheetViews>
  <sheetFormatPr defaultRowHeight="15"/>
  <cols>
    <col min="1" max="1" width="26.140625" bestFit="1" customWidth="1"/>
    <col min="2" max="4" width="9.7109375" bestFit="1" customWidth="1"/>
  </cols>
  <sheetData>
    <row r="1" spans="1:4">
      <c r="A1" s="2" t="s">
        <v>8</v>
      </c>
      <c r="B1" s="2" t="s">
        <v>9</v>
      </c>
      <c r="C1" s="2" t="s">
        <v>10</v>
      </c>
      <c r="D1" s="2" t="s">
        <v>11</v>
      </c>
    </row>
    <row r="2" spans="1:4">
      <c r="A2" s="2" t="s">
        <v>12</v>
      </c>
      <c r="B2" s="2">
        <v>219530</v>
      </c>
      <c r="C2" s="2">
        <v>246082</v>
      </c>
      <c r="D2" s="2">
        <v>256682</v>
      </c>
    </row>
    <row r="3" spans="1:4">
      <c r="A3" s="2" t="s">
        <v>13</v>
      </c>
      <c r="B3" s="2">
        <v>12344</v>
      </c>
      <c r="C3" s="2">
        <v>13156</v>
      </c>
      <c r="D3" s="2">
        <v>14943</v>
      </c>
    </row>
    <row r="4" spans="1:4">
      <c r="A4" s="2" t="s">
        <v>14</v>
      </c>
      <c r="B4" s="2">
        <v>6320</v>
      </c>
      <c r="C4" s="2">
        <v>6543</v>
      </c>
      <c r="D4" s="2">
        <v>7392</v>
      </c>
    </row>
    <row r="5" spans="1:4">
      <c r="A5" s="2" t="s">
        <v>15</v>
      </c>
      <c r="B5" s="2">
        <v>9831</v>
      </c>
      <c r="C5" s="2">
        <v>13841</v>
      </c>
      <c r="D5" s="2">
        <v>10984</v>
      </c>
    </row>
    <row r="6" spans="1:4">
      <c r="A6" s="2" t="s">
        <v>16</v>
      </c>
      <c r="B6" s="2">
        <v>6229</v>
      </c>
      <c r="C6" s="2">
        <v>6779</v>
      </c>
      <c r="D6" s="2">
        <v>7365</v>
      </c>
    </row>
    <row r="7" spans="1:4">
      <c r="A7" s="2" t="s">
        <v>17</v>
      </c>
      <c r="B7" s="2">
        <v>102356</v>
      </c>
      <c r="C7" s="2">
        <v>112328</v>
      </c>
      <c r="D7" s="2">
        <v>124944</v>
      </c>
    </row>
    <row r="8" spans="1:4">
      <c r="A8" s="2" t="s">
        <v>18</v>
      </c>
      <c r="B8" s="2">
        <v>26278</v>
      </c>
      <c r="C8" s="2">
        <v>27724</v>
      </c>
      <c r="D8" s="2">
        <v>30117</v>
      </c>
    </row>
    <row r="9" spans="1:4">
      <c r="A9" s="2" t="s">
        <v>19</v>
      </c>
      <c r="B9" s="2">
        <v>76078</v>
      </c>
      <c r="C9" s="2">
        <v>84604</v>
      </c>
      <c r="D9" s="2">
        <v>94827</v>
      </c>
    </row>
    <row r="10" spans="1:4">
      <c r="A10" s="2" t="s">
        <v>20</v>
      </c>
      <c r="B10" s="5">
        <v>12548</v>
      </c>
      <c r="C10" s="5">
        <v>11732</v>
      </c>
      <c r="D10" s="5">
        <v>9946</v>
      </c>
    </row>
    <row r="11" spans="1:4">
      <c r="A11" s="2" t="s">
        <v>21</v>
      </c>
      <c r="B11" s="5">
        <v>6368</v>
      </c>
      <c r="C11" s="5">
        <v>5993</v>
      </c>
      <c r="D11" s="5">
        <v>6993</v>
      </c>
    </row>
    <row r="12" spans="1:4">
      <c r="A12" s="2" t="s">
        <v>22</v>
      </c>
      <c r="B12" s="2"/>
      <c r="C12" s="2"/>
      <c r="D12" s="2">
        <v>591.34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election activeCell="D11" sqref="D11"/>
    </sheetView>
  </sheetViews>
  <sheetFormatPr defaultRowHeight="15"/>
  <cols>
    <col min="1" max="1" width="26.140625" bestFit="1" customWidth="1"/>
  </cols>
  <sheetData>
    <row r="1" spans="1:3">
      <c r="A1" s="7" t="s">
        <v>23</v>
      </c>
      <c r="B1" s="7" t="s">
        <v>24</v>
      </c>
      <c r="C1" s="7" t="s">
        <v>25</v>
      </c>
    </row>
    <row r="2" spans="1:3">
      <c r="A2" s="2" t="s">
        <v>26</v>
      </c>
      <c r="B2" s="6">
        <v>0.08</v>
      </c>
      <c r="C2" s="2"/>
    </row>
    <row r="3" spans="1:3">
      <c r="A3" s="2" t="s">
        <v>27</v>
      </c>
      <c r="B3" s="6">
        <v>7.0000000000000007E-2</v>
      </c>
      <c r="C3" s="2"/>
    </row>
    <row r="4" spans="1:3">
      <c r="A4" s="2" t="s">
        <v>28</v>
      </c>
      <c r="B4" s="6">
        <v>0.06</v>
      </c>
      <c r="C4" s="2"/>
    </row>
    <row r="5" spans="1:3">
      <c r="A5" s="2" t="s">
        <v>29</v>
      </c>
      <c r="B5" s="6">
        <v>0.05</v>
      </c>
      <c r="C5" s="2"/>
    </row>
    <row r="6" spans="1:3">
      <c r="A6" s="2" t="s">
        <v>30</v>
      </c>
      <c r="B6" s="6">
        <v>0.05</v>
      </c>
      <c r="C6" s="2"/>
    </row>
    <row r="7" spans="1:3">
      <c r="A7" s="2"/>
      <c r="B7" s="6"/>
      <c r="C7" s="2"/>
    </row>
    <row r="8" spans="1:3">
      <c r="A8" s="2" t="s">
        <v>31</v>
      </c>
      <c r="B8" s="6">
        <v>5.8000000000000003E-2</v>
      </c>
      <c r="C8" s="2"/>
    </row>
    <row r="9" spans="1:3">
      <c r="A9" s="2" t="s">
        <v>32</v>
      </c>
      <c r="B9" s="6">
        <v>0.27</v>
      </c>
      <c r="C9" s="2"/>
    </row>
    <row r="10" spans="1:3">
      <c r="A10" s="2"/>
      <c r="B10" s="6"/>
      <c r="C10" s="2"/>
    </row>
    <row r="11" spans="1:3">
      <c r="A11" s="2" t="s">
        <v>33</v>
      </c>
      <c r="B11" s="6">
        <v>0.05</v>
      </c>
      <c r="C11" s="2"/>
    </row>
    <row r="12" spans="1:3">
      <c r="A12" s="2" t="s">
        <v>34</v>
      </c>
      <c r="B12" s="6">
        <v>3.5000000000000003E-2</v>
      </c>
      <c r="C12" s="2"/>
    </row>
    <row r="13" spans="1:3">
      <c r="A13" s="2"/>
      <c r="B13" s="6"/>
      <c r="C13" s="2"/>
    </row>
    <row r="14" spans="1:3">
      <c r="A14" s="2" t="s">
        <v>35</v>
      </c>
      <c r="B14" s="6">
        <v>0.13</v>
      </c>
      <c r="C14" s="2"/>
    </row>
    <row r="15" spans="1:3">
      <c r="A15" s="2" t="s">
        <v>36</v>
      </c>
      <c r="B15" s="6">
        <v>2.5000000000000001E-2</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8"/>
  <sheetViews>
    <sheetView workbookViewId="0">
      <selection activeCell="D5" sqref="D5"/>
    </sheetView>
  </sheetViews>
  <sheetFormatPr defaultRowHeight="15"/>
  <cols>
    <col min="1" max="1" width="26.140625" bestFit="1" customWidth="1"/>
  </cols>
  <sheetData>
    <row r="1" spans="1:3">
      <c r="A1" s="7" t="s">
        <v>23</v>
      </c>
      <c r="B1" s="7" t="s">
        <v>24</v>
      </c>
      <c r="C1" s="7" t="s">
        <v>25</v>
      </c>
    </row>
    <row r="2" spans="1:3">
      <c r="A2" s="2" t="s">
        <v>26</v>
      </c>
      <c r="B2" s="6">
        <v>0.08</v>
      </c>
      <c r="C2" s="2"/>
    </row>
    <row r="3" spans="1:3">
      <c r="A3" s="2" t="s">
        <v>27</v>
      </c>
      <c r="B3" s="6">
        <v>7.0000000000000007E-2</v>
      </c>
      <c r="C3" s="2"/>
    </row>
    <row r="4" spans="1:3">
      <c r="A4" s="2" t="s">
        <v>28</v>
      </c>
      <c r="B4" s="6">
        <v>0.06</v>
      </c>
      <c r="C4" s="2"/>
    </row>
    <row r="5" spans="1:3">
      <c r="A5" s="2" t="s">
        <v>29</v>
      </c>
      <c r="B5" s="6">
        <v>0.05</v>
      </c>
      <c r="C5" s="2"/>
    </row>
    <row r="6" spans="1:3">
      <c r="A6" s="2" t="s">
        <v>30</v>
      </c>
      <c r="B6" s="6">
        <v>0.05</v>
      </c>
      <c r="C6" s="2"/>
    </row>
    <row r="7" spans="1:3">
      <c r="A7" s="2"/>
      <c r="B7" s="6"/>
      <c r="C7" s="2"/>
    </row>
    <row r="8" spans="1:3">
      <c r="A8" s="2" t="s">
        <v>31</v>
      </c>
      <c r="B8" s="6">
        <v>5.8000000000000003E-2</v>
      </c>
      <c r="C8" s="2"/>
    </row>
    <row r="9" spans="1:3">
      <c r="A9" s="2" t="s">
        <v>32</v>
      </c>
      <c r="B9" s="6">
        <v>0.27</v>
      </c>
      <c r="C9" s="2"/>
    </row>
    <row r="10" spans="1:3">
      <c r="A10" s="2"/>
      <c r="B10" s="6"/>
      <c r="C10" s="2"/>
    </row>
    <row r="11" spans="1:3">
      <c r="A11" s="2" t="s">
        <v>33</v>
      </c>
      <c r="B11" s="6">
        <v>5.5E-2</v>
      </c>
      <c r="C11" s="2"/>
    </row>
    <row r="12" spans="1:3">
      <c r="A12" s="2" t="s">
        <v>34</v>
      </c>
      <c r="B12" s="6">
        <v>0.03</v>
      </c>
      <c r="C12" s="2"/>
    </row>
    <row r="13" spans="1:3">
      <c r="A13" s="2"/>
      <c r="B13" s="6"/>
      <c r="C13" s="2"/>
    </row>
    <row r="14" spans="1:3">
      <c r="A14" s="2" t="s">
        <v>35</v>
      </c>
      <c r="B14" s="6">
        <v>0.12</v>
      </c>
      <c r="C14" s="2"/>
    </row>
    <row r="15" spans="1:3">
      <c r="A15" s="2" t="s">
        <v>36</v>
      </c>
      <c r="B15" s="6">
        <v>0.03</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election activeCell="D5" sqref="D5"/>
    </sheetView>
  </sheetViews>
  <sheetFormatPr defaultRowHeight="15"/>
  <cols>
    <col min="1" max="1" width="26.140625" bestFit="1" customWidth="1"/>
  </cols>
  <sheetData>
    <row r="1" spans="1:3">
      <c r="A1" s="7" t="s">
        <v>23</v>
      </c>
      <c r="B1" s="7" t="s">
        <v>24</v>
      </c>
      <c r="C1" s="7" t="s">
        <v>25</v>
      </c>
    </row>
    <row r="2" spans="1:3">
      <c r="A2" s="2" t="s">
        <v>26</v>
      </c>
      <c r="B2" s="6">
        <v>0.08</v>
      </c>
      <c r="C2" s="2"/>
    </row>
    <row r="3" spans="1:3">
      <c r="A3" s="2" t="s">
        <v>27</v>
      </c>
      <c r="B3" s="6">
        <v>7.0000000000000007E-2</v>
      </c>
      <c r="C3" s="2"/>
    </row>
    <row r="4" spans="1:3">
      <c r="A4" s="2" t="s">
        <v>28</v>
      </c>
      <c r="B4" s="6">
        <v>0.06</v>
      </c>
      <c r="C4" s="2"/>
    </row>
    <row r="5" spans="1:3">
      <c r="A5" s="2" t="s">
        <v>29</v>
      </c>
      <c r="B5" s="6">
        <v>0.05</v>
      </c>
      <c r="C5" s="2"/>
    </row>
    <row r="6" spans="1:3">
      <c r="A6" s="2" t="s">
        <v>30</v>
      </c>
      <c r="B6" s="6">
        <v>0.05</v>
      </c>
      <c r="C6" s="2"/>
    </row>
    <row r="7" spans="1:3">
      <c r="A7" s="2"/>
      <c r="B7" s="6"/>
      <c r="C7" s="2"/>
    </row>
    <row r="8" spans="1:3">
      <c r="A8" s="2" t="s">
        <v>31</v>
      </c>
      <c r="B8" s="6">
        <v>5.8000000000000003E-2</v>
      </c>
      <c r="C8" s="2"/>
    </row>
    <row r="9" spans="1:3">
      <c r="A9" s="2" t="s">
        <v>32</v>
      </c>
      <c r="B9" s="6">
        <v>0.27</v>
      </c>
      <c r="C9" s="2"/>
    </row>
    <row r="10" spans="1:3">
      <c r="A10" s="2"/>
      <c r="B10" s="6"/>
      <c r="C10" s="2"/>
    </row>
    <row r="11" spans="1:3">
      <c r="A11" s="2" t="s">
        <v>33</v>
      </c>
      <c r="B11" s="6">
        <v>0.06</v>
      </c>
      <c r="C11" s="2"/>
    </row>
    <row r="12" spans="1:3">
      <c r="A12" s="2" t="s">
        <v>34</v>
      </c>
      <c r="B12" s="6">
        <v>2.8000000000000001E-2</v>
      </c>
      <c r="C12" s="2"/>
    </row>
    <row r="13" spans="1:3">
      <c r="A13" s="2"/>
      <c r="B13" s="6"/>
      <c r="C13" s="2"/>
    </row>
    <row r="14" spans="1:3">
      <c r="A14" s="2" t="s">
        <v>35</v>
      </c>
      <c r="B14" s="6">
        <v>0.11</v>
      </c>
      <c r="C14" s="2"/>
    </row>
    <row r="15" spans="1:3">
      <c r="A15" s="2" t="s">
        <v>36</v>
      </c>
      <c r="B15" s="6">
        <v>3.5000000000000003E-2</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8"/>
  <sheetViews>
    <sheetView workbookViewId="0">
      <selection activeCell="E9" sqref="E9"/>
    </sheetView>
  </sheetViews>
  <sheetFormatPr defaultRowHeight="15"/>
  <cols>
    <col min="1" max="1" width="26.140625" bestFit="1" customWidth="1"/>
  </cols>
  <sheetData>
    <row r="1" spans="1:3">
      <c r="A1" s="7" t="s">
        <v>23</v>
      </c>
      <c r="B1" s="7" t="s">
        <v>24</v>
      </c>
      <c r="C1" s="7" t="s">
        <v>25</v>
      </c>
    </row>
    <row r="2" spans="1:3">
      <c r="A2" s="2" t="s">
        <v>26</v>
      </c>
      <c r="B2" s="6">
        <v>0.08</v>
      </c>
      <c r="C2" s="2"/>
    </row>
    <row r="3" spans="1:3">
      <c r="A3" s="2" t="s">
        <v>27</v>
      </c>
      <c r="B3" s="6">
        <v>7.0000000000000007E-2</v>
      </c>
      <c r="C3" s="2"/>
    </row>
    <row r="4" spans="1:3">
      <c r="A4" s="2" t="s">
        <v>28</v>
      </c>
      <c r="B4" s="6">
        <v>0.06</v>
      </c>
      <c r="C4" s="2"/>
    </row>
    <row r="5" spans="1:3">
      <c r="A5" s="2" t="s">
        <v>29</v>
      </c>
      <c r="B5" s="6">
        <v>0.05</v>
      </c>
      <c r="C5" s="2"/>
    </row>
    <row r="6" spans="1:3">
      <c r="A6" s="2" t="s">
        <v>30</v>
      </c>
      <c r="B6" s="6">
        <v>0.05</v>
      </c>
      <c r="C6" s="2"/>
    </row>
    <row r="7" spans="1:3">
      <c r="A7" s="2"/>
      <c r="B7" s="6"/>
      <c r="C7" s="2"/>
    </row>
    <row r="8" spans="1:3">
      <c r="A8" s="2" t="s">
        <v>31</v>
      </c>
      <c r="B8" s="6">
        <v>5.8000000000000003E-2</v>
      </c>
      <c r="C8" s="2"/>
    </row>
    <row r="9" spans="1:3">
      <c r="A9" s="2" t="s">
        <v>32</v>
      </c>
      <c r="B9" s="6">
        <v>0.27</v>
      </c>
      <c r="C9" s="2"/>
    </row>
    <row r="10" spans="1:3">
      <c r="A10" s="2"/>
      <c r="B10" s="6"/>
      <c r="C10" s="2"/>
    </row>
    <row r="11" spans="1:3">
      <c r="A11" s="2" t="s">
        <v>33</v>
      </c>
      <c r="B11" s="6">
        <v>4.4999999999999998E-2</v>
      </c>
      <c r="C11" s="2"/>
    </row>
    <row r="12" spans="1:3">
      <c r="A12" s="2" t="s">
        <v>34</v>
      </c>
      <c r="B12" s="6">
        <v>0.04</v>
      </c>
      <c r="C12" s="2"/>
    </row>
    <row r="13" spans="1:3">
      <c r="A13" s="2"/>
      <c r="B13" s="6"/>
      <c r="C13" s="2"/>
    </row>
    <row r="14" spans="1:3">
      <c r="A14" s="2" t="s">
        <v>35</v>
      </c>
      <c r="B14" s="6">
        <v>0.12</v>
      </c>
      <c r="C14" s="2"/>
    </row>
    <row r="15" spans="1:3">
      <c r="A15" s="2" t="s">
        <v>36</v>
      </c>
      <c r="B15" s="6">
        <v>0.03</v>
      </c>
      <c r="C15" s="2"/>
    </row>
    <row r="16" spans="1:3">
      <c r="A16" s="2" t="s">
        <v>37</v>
      </c>
      <c r="B16" s="2">
        <v>5</v>
      </c>
      <c r="C16" s="2"/>
    </row>
    <row r="17" spans="1:3">
      <c r="A17" s="2"/>
      <c r="B17" s="2"/>
      <c r="C17" s="2"/>
    </row>
    <row r="18" spans="1:3">
      <c r="A18" s="2" t="s">
        <v>22</v>
      </c>
      <c r="B18" s="2">
        <v>591.34</v>
      </c>
      <c r="C18"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election activeCell="E9" sqref="E9"/>
    </sheetView>
  </sheetViews>
  <sheetFormatPr defaultRowHeight="15"/>
  <cols>
    <col min="2" max="2" width="10.85546875" bestFit="1" customWidth="1"/>
    <col min="3" max="3" width="11.5703125" bestFit="1" customWidth="1"/>
  </cols>
  <sheetData>
    <row r="1" spans="1:3">
      <c r="A1" s="2" t="s">
        <v>38</v>
      </c>
      <c r="B1" s="2" t="s">
        <v>12</v>
      </c>
      <c r="C1" s="2" t="s">
        <v>39</v>
      </c>
    </row>
    <row r="2" spans="1:3">
      <c r="A2" s="2" t="s">
        <v>9</v>
      </c>
      <c r="B2" s="2">
        <f>'01_Historical_Input'!B2</f>
        <v>219530</v>
      </c>
      <c r="C2" s="2"/>
    </row>
    <row r="3" spans="1:3">
      <c r="A3" s="2" t="s">
        <v>10</v>
      </c>
      <c r="B3" s="2">
        <f>'01_Historical_Input'!C2</f>
        <v>246082</v>
      </c>
      <c r="C3" s="6">
        <f>(B3/B2)-1</f>
        <v>0.12094930077893684</v>
      </c>
    </row>
    <row r="4" spans="1:3">
      <c r="A4" s="2" t="s">
        <v>11</v>
      </c>
      <c r="B4" s="2">
        <f>'01_Historical_Input'!D2</f>
        <v>256682</v>
      </c>
      <c r="C4" s="6">
        <f>(B4/B3)-1</f>
        <v>4.3075072536796766E-2</v>
      </c>
    </row>
    <row r="5" spans="1:3">
      <c r="A5" s="2" t="s">
        <v>40</v>
      </c>
      <c r="B5" s="8">
        <f>B4*(1+C5)</f>
        <v>277216.56</v>
      </c>
      <c r="C5" s="6">
        <f>'02_Key_Assumptions'!B2</f>
        <v>0.08</v>
      </c>
    </row>
    <row r="6" spans="1:3">
      <c r="A6" s="2" t="s">
        <v>41</v>
      </c>
      <c r="B6" s="8">
        <f>B5*(1+C6)</f>
        <v>296621.71919999999</v>
      </c>
      <c r="C6" s="6">
        <f>'02_Key_Assumptions'!B3</f>
        <v>7.0000000000000007E-2</v>
      </c>
    </row>
    <row r="7" spans="1:3">
      <c r="A7" s="2" t="s">
        <v>42</v>
      </c>
      <c r="B7" s="8">
        <f>B6*(1+C7)</f>
        <v>314419.022352</v>
      </c>
      <c r="C7" s="6">
        <f>'02_Key_Assumptions'!B4</f>
        <v>0.06</v>
      </c>
    </row>
    <row r="8" spans="1:3">
      <c r="A8" s="2" t="s">
        <v>43</v>
      </c>
      <c r="B8" s="8">
        <f>B7*(1+C8)</f>
        <v>330139.97346960002</v>
      </c>
      <c r="C8" s="6">
        <f>'02_Key_Assumptions'!B5</f>
        <v>0.05</v>
      </c>
    </row>
    <row r="9" spans="1:3">
      <c r="A9" s="2" t="s">
        <v>44</v>
      </c>
      <c r="B9" s="8">
        <f>B8*(1+C9)</f>
        <v>346646.97214308003</v>
      </c>
      <c r="C9" s="6">
        <f>'02_Key_Assumptions'!B6</f>
        <v>0.05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
  <sheetViews>
    <sheetView workbookViewId="0">
      <selection activeCell="I12" sqref="I12"/>
    </sheetView>
  </sheetViews>
  <sheetFormatPr defaultRowHeight="15"/>
  <cols>
    <col min="1" max="1" width="16.140625" bestFit="1" customWidth="1"/>
    <col min="2" max="6" width="9.7109375" bestFit="1" customWidth="1"/>
  </cols>
  <sheetData>
    <row r="1" spans="1:6">
      <c r="A1" s="2" t="s">
        <v>38</v>
      </c>
      <c r="B1" s="2" t="s">
        <v>40</v>
      </c>
      <c r="C1" s="2" t="s">
        <v>41</v>
      </c>
      <c r="D1" s="2" t="s">
        <v>42</v>
      </c>
      <c r="E1" s="2" t="s">
        <v>43</v>
      </c>
      <c r="F1" s="2" t="s">
        <v>44</v>
      </c>
    </row>
    <row r="2" spans="1:6">
      <c r="A2" s="2" t="s">
        <v>12</v>
      </c>
      <c r="B2" s="8">
        <f>'03_Revenue_Forecast'!B5</f>
        <v>277216.56</v>
      </c>
      <c r="C2" s="8">
        <f>'03_Revenue_Forecast'!B6</f>
        <v>296621.71919999999</v>
      </c>
      <c r="D2" s="8">
        <f>'03_Revenue_Forecast'!B7</f>
        <v>314419.022352</v>
      </c>
      <c r="E2" s="8">
        <f>'03_Revenue_Forecast'!B8</f>
        <v>330139.97346960002</v>
      </c>
      <c r="F2" s="8">
        <f>'03_Revenue_Forecast'!B9</f>
        <v>346646.97214308003</v>
      </c>
    </row>
    <row r="3" spans="1:6">
      <c r="A3" s="2" t="s">
        <v>45</v>
      </c>
      <c r="B3" s="6">
        <f>'02_Key_Assumptions'!$B$8</f>
        <v>5.8000000000000003E-2</v>
      </c>
      <c r="C3" s="6">
        <f>'02_Key_Assumptions'!$B$8</f>
        <v>5.8000000000000003E-2</v>
      </c>
      <c r="D3" s="6">
        <f>'02_Key_Assumptions'!$B$8</f>
        <v>5.8000000000000003E-2</v>
      </c>
      <c r="E3" s="6">
        <f>'02_Key_Assumptions'!$B$8</f>
        <v>5.8000000000000003E-2</v>
      </c>
      <c r="F3" s="6">
        <f>'02_Key_Assumptions'!$B$8</f>
        <v>5.8000000000000003E-2</v>
      </c>
    </row>
    <row r="4" spans="1:6">
      <c r="A4" s="2" t="s">
        <v>13</v>
      </c>
      <c r="B4" s="9">
        <f>B2*B3</f>
        <v>16078.56048</v>
      </c>
      <c r="C4" s="9">
        <f>C2*C3</f>
        <v>17204.0597136</v>
      </c>
      <c r="D4" s="9">
        <f>D2*D3</f>
        <v>18236.303296416001</v>
      </c>
      <c r="E4" s="9">
        <f>E2*E3</f>
        <v>19148.118461236802</v>
      </c>
      <c r="F4" s="9">
        <f>F2*F3</f>
        <v>20105.524384298642</v>
      </c>
    </row>
    <row r="5" spans="1:6">
      <c r="A5" s="2" t="s">
        <v>46</v>
      </c>
      <c r="B5" s="6">
        <f>'02_Key_Assumptions'!$B$9</f>
        <v>0.27</v>
      </c>
      <c r="C5" s="6">
        <f>'02_Key_Assumptions'!$B$9</f>
        <v>0.27</v>
      </c>
      <c r="D5" s="6">
        <f>'02_Key_Assumptions'!$B$9</f>
        <v>0.27</v>
      </c>
      <c r="E5" s="6">
        <f>'02_Key_Assumptions'!$B$9</f>
        <v>0.27</v>
      </c>
      <c r="F5" s="6">
        <f>'02_Key_Assumptions'!$B$9</f>
        <v>0.27</v>
      </c>
    </row>
    <row r="6" spans="1:6">
      <c r="A6" s="2" t="s">
        <v>47</v>
      </c>
      <c r="B6" s="9">
        <f>B4*B5</f>
        <v>4341.2113296000007</v>
      </c>
      <c r="C6" s="9">
        <f>C4*C5</f>
        <v>4645.0961226720001</v>
      </c>
      <c r="D6" s="9">
        <f>D4*D5</f>
        <v>4923.8018900323204</v>
      </c>
      <c r="E6" s="9">
        <f>E4*E5</f>
        <v>5169.9919845339364</v>
      </c>
      <c r="F6" s="9">
        <f>F4*F5</f>
        <v>5428.4915837606341</v>
      </c>
    </row>
    <row r="7" spans="1:6">
      <c r="A7" s="2" t="s">
        <v>14</v>
      </c>
      <c r="B7" s="9">
        <f>B4-B6</f>
        <v>11737.349150399999</v>
      </c>
      <c r="C7" s="9">
        <f>C4-C6</f>
        <v>12558.963590928</v>
      </c>
      <c r="D7" s="9">
        <f>D4-D6</f>
        <v>13312.501406383681</v>
      </c>
      <c r="E7" s="9">
        <f>E4-E6</f>
        <v>13978.126476702866</v>
      </c>
      <c r="F7" s="9">
        <f>F4-F6</f>
        <v>14677.032800538007</v>
      </c>
    </row>
    <row r="8" spans="1:6">
      <c r="A8" s="2" t="s">
        <v>48</v>
      </c>
      <c r="B8" s="6">
        <f>B7/B2</f>
        <v>4.2339999999999996E-2</v>
      </c>
      <c r="C8" s="6">
        <f>C7/C2</f>
        <v>4.2340000000000003E-2</v>
      </c>
      <c r="D8" s="6">
        <f>D7/D2</f>
        <v>4.2340000000000003E-2</v>
      </c>
      <c r="E8" s="6">
        <f>E7/E2</f>
        <v>4.2340000000000003E-2</v>
      </c>
      <c r="F8" s="6">
        <f>F7/F2</f>
        <v>4.2339999999999996E-2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
  <sheetViews>
    <sheetView workbookViewId="0">
      <selection activeCell="J9" sqref="J9"/>
    </sheetView>
  </sheetViews>
  <sheetFormatPr defaultRowHeight="15"/>
  <cols>
    <col min="1" max="1" width="15" bestFit="1" customWidth="1"/>
    <col min="2" max="6" width="9.7109375" bestFit="1" customWidth="1"/>
  </cols>
  <sheetData>
    <row r="1" spans="1:6">
      <c r="A1" s="2" t="s">
        <v>49</v>
      </c>
      <c r="B1" s="2" t="s">
        <v>40</v>
      </c>
      <c r="C1" s="2" t="s">
        <v>41</v>
      </c>
      <c r="D1" s="2" t="s">
        <v>42</v>
      </c>
      <c r="E1" s="2" t="s">
        <v>43</v>
      </c>
      <c r="F1" s="2" t="s">
        <v>44</v>
      </c>
    </row>
    <row r="2" spans="1:6">
      <c r="A2" s="2" t="s">
        <v>12</v>
      </c>
      <c r="B2" s="8">
        <f>'03_Revenue_Forecast'!B5</f>
        <v>277216.56</v>
      </c>
      <c r="C2" s="8">
        <f>'03_Revenue_Forecast'!B6</f>
        <v>296621.71919999999</v>
      </c>
      <c r="D2" s="2">
        <f>'03_Revenue_Forecast'!B7</f>
        <v>314419.022352</v>
      </c>
      <c r="E2" s="2">
        <f>'03_Revenue_Forecast'!B8</f>
        <v>330139.97346960002</v>
      </c>
      <c r="F2" s="2">
        <f>'03_Revenue_Forecast'!B9</f>
        <v>346646.97214308003</v>
      </c>
    </row>
    <row r="3" spans="1:6">
      <c r="A3" s="2" t="s">
        <v>13</v>
      </c>
      <c r="B3" s="9">
        <f>'04_Costs_&amp;_Margins'!B4</f>
        <v>16078.56048</v>
      </c>
      <c r="C3" s="9">
        <f>'04_Costs_&amp;_Margins'!C4</f>
        <v>17204.0597136</v>
      </c>
      <c r="D3" s="9">
        <f>'04_Costs_&amp;_Margins'!D4</f>
        <v>18236.303296416001</v>
      </c>
      <c r="E3" s="9">
        <f>'04_Costs_&amp;_Margins'!E4</f>
        <v>19148.118461236802</v>
      </c>
      <c r="F3" s="9">
        <f>'04_Costs_&amp;_Margins'!F4</f>
        <v>20105.524384298642</v>
      </c>
    </row>
    <row r="4" spans="1:6">
      <c r="A4" s="2" t="s">
        <v>47</v>
      </c>
      <c r="B4" s="9">
        <f>'04_Costs_&amp;_Margins'!B6</f>
        <v>4341.2113296000007</v>
      </c>
      <c r="C4" s="9">
        <f>'04_Costs_&amp;_Margins'!C6</f>
        <v>4645.0961226720001</v>
      </c>
      <c r="D4" s="9">
        <f>'04_Costs_&amp;_Margins'!D6</f>
        <v>4923.8018900323204</v>
      </c>
      <c r="E4" s="9">
        <f>'04_Costs_&amp;_Margins'!E6</f>
        <v>5169.9919845339364</v>
      </c>
      <c r="F4" s="9">
        <f>'04_Costs_&amp;_Margins'!F6</f>
        <v>5428.4915837606341</v>
      </c>
    </row>
    <row r="5" spans="1:6">
      <c r="A5" s="2" t="s">
        <v>14</v>
      </c>
      <c r="B5" s="9">
        <f>'04_Costs_&amp;_Margins'!B7</f>
        <v>11737.349150399999</v>
      </c>
      <c r="C5" s="9">
        <f>'04_Costs_&amp;_Margins'!C7</f>
        <v>12558.963590928</v>
      </c>
      <c r="D5" s="9">
        <f>'04_Costs_&amp;_Margins'!D7</f>
        <v>13312.501406383681</v>
      </c>
      <c r="E5" s="9">
        <f>'04_Costs_&amp;_Margins'!E7</f>
        <v>13978.126476702866</v>
      </c>
      <c r="F5" s="9">
        <f>'04_Costs_&amp;_Margins'!F7</f>
        <v>14677.032800538007</v>
      </c>
    </row>
    <row r="6" spans="1:6">
      <c r="A6" s="2" t="s">
        <v>48</v>
      </c>
      <c r="B6" s="6">
        <f>B5/B2</f>
        <v>4.2339999999999996E-2</v>
      </c>
      <c r="C6" s="6">
        <f>C5/C2</f>
        <v>4.2340000000000003E-2</v>
      </c>
      <c r="D6" s="6">
        <f>D5/D2</f>
        <v>4.2340000000000003E-2</v>
      </c>
      <c r="E6" s="6">
        <f>E5/E2</f>
        <v>4.2340000000000003E-2</v>
      </c>
      <c r="F6" s="6">
        <f>F5/F2</f>
        <v>4.2339999999999996E-2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
  <sheetViews>
    <sheetView workbookViewId="0">
      <selection activeCell="H7" sqref="H7"/>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8">
        <f>'03_Revenue_Forecast'!B5</f>
        <v>277216.56</v>
      </c>
      <c r="C2" s="8">
        <f>'03_Revenue_Forecast'!B6</f>
        <v>296621.71919999999</v>
      </c>
      <c r="D2" s="2">
        <f>'03_Revenue_Forecast'!B7</f>
        <v>314419.022352</v>
      </c>
      <c r="E2" s="2">
        <f>'03_Revenue_Forecast'!B8</f>
        <v>330139.97346960002</v>
      </c>
      <c r="F2" s="2">
        <f>'03_Revenue_Forecast'!B9</f>
        <v>346646.97214308003</v>
      </c>
    </row>
    <row r="3" spans="1:6">
      <c r="A3" s="2" t="s">
        <v>15</v>
      </c>
      <c r="B3" s="9">
        <v>15246.9108</v>
      </c>
      <c r="C3" s="9">
        <v>16314.194556</v>
      </c>
      <c r="D3" s="9">
        <v>17293.046229359999</v>
      </c>
      <c r="E3" s="9">
        <v>18157.698540828002</v>
      </c>
      <c r="F3" s="9">
        <v>19065.583467869401</v>
      </c>
    </row>
    <row r="4" spans="1:6">
      <c r="A4" s="2" t="s">
        <v>50</v>
      </c>
      <c r="B4" s="9">
        <v>8316.496799999999</v>
      </c>
      <c r="C4" s="9">
        <v>8898.6515760000002</v>
      </c>
      <c r="D4" s="9">
        <v>9432.5706705600005</v>
      </c>
      <c r="E4" s="9">
        <v>9904.1992040879995</v>
      </c>
      <c r="F4" s="9">
        <v>10399.4091642924</v>
      </c>
    </row>
    <row r="5" spans="1:6">
      <c r="A5" s="2" t="s">
        <v>51</v>
      </c>
      <c r="B5" s="9">
        <v>6930.4140000000007</v>
      </c>
      <c r="C5" s="9">
        <v>7415.5429800000002</v>
      </c>
      <c r="D5" s="9">
        <v>7860.4755587999989</v>
      </c>
      <c r="E5" s="9">
        <v>8253.499336740002</v>
      </c>
      <c r="F5" s="9">
        <v>8666.1743035769996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
  <sheetViews>
    <sheetView workbookViewId="0">
      <selection activeCell="J5" sqref="J5"/>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8">
        <f>'03_Revenue_Forecast'!B5</f>
        <v>277216.56</v>
      </c>
      <c r="C2" s="8">
        <f>'03_Revenue_Forecast'!B6</f>
        <v>296621.71919999999</v>
      </c>
      <c r="D2" s="2">
        <f>'03_Revenue_Forecast'!B7</f>
        <v>314419.022352</v>
      </c>
      <c r="E2" s="2">
        <f>'03_Revenue_Forecast'!B8</f>
        <v>330139.97346960002</v>
      </c>
      <c r="F2" s="2">
        <f>'03_Revenue_Forecast'!B9</f>
        <v>346646.97214308003</v>
      </c>
    </row>
    <row r="3" spans="1:6">
      <c r="A3" s="2" t="s">
        <v>15</v>
      </c>
      <c r="B3" s="9">
        <v>16632.993600000002</v>
      </c>
      <c r="C3" s="9">
        <v>17797.303152</v>
      </c>
      <c r="D3" s="9">
        <v>18865.141341120001</v>
      </c>
      <c r="E3" s="9">
        <v>19808.398408175999</v>
      </c>
      <c r="F3" s="9">
        <v>20798.818328584799</v>
      </c>
    </row>
    <row r="4" spans="1:6">
      <c r="A4" s="2" t="s">
        <v>50</v>
      </c>
      <c r="B4" s="9">
        <v>7762.0636800000002</v>
      </c>
      <c r="C4" s="9">
        <v>8305.4081375999995</v>
      </c>
      <c r="D4" s="9">
        <v>8803.7326258560006</v>
      </c>
      <c r="E4" s="9">
        <v>9243.9192571488002</v>
      </c>
      <c r="F4" s="9">
        <v>9706.1152200062406</v>
      </c>
    </row>
    <row r="5" spans="1:6">
      <c r="A5" s="2" t="s">
        <v>51</v>
      </c>
      <c r="B5" s="9">
        <v>8870.9299199999987</v>
      </c>
      <c r="C5" s="9">
        <v>9491.8950144000009</v>
      </c>
      <c r="D5" s="9">
        <v>10061.408715264</v>
      </c>
      <c r="E5" s="9">
        <v>10564.479151027201</v>
      </c>
      <c r="F5" s="9">
        <v>11092.70310857856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
  <sheetViews>
    <sheetView workbookViewId="0">
      <selection activeCell="J5" sqref="J5"/>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8">
        <f>'03_Revenue_Forecast'!B5</f>
        <v>277216.56</v>
      </c>
      <c r="C2" s="8">
        <f>'03_Revenue_Forecast'!B6</f>
        <v>296621.71919999999</v>
      </c>
      <c r="D2" s="2">
        <f>'03_Revenue_Forecast'!B7</f>
        <v>314419.022352</v>
      </c>
      <c r="E2" s="2">
        <f>'03_Revenue_Forecast'!B8</f>
        <v>330139.97346960002</v>
      </c>
      <c r="F2" s="2">
        <f>'03_Revenue_Forecast'!B9</f>
        <v>346646.97214308003</v>
      </c>
    </row>
    <row r="3" spans="1:6">
      <c r="A3" s="2" t="s">
        <v>15</v>
      </c>
      <c r="B3" s="9">
        <v>13860.828</v>
      </c>
      <c r="C3" s="9">
        <v>14831.08596</v>
      </c>
      <c r="D3" s="9">
        <v>15720.9511176</v>
      </c>
      <c r="E3" s="9">
        <v>16506.99867348</v>
      </c>
      <c r="F3" s="9">
        <v>17332.348607153999</v>
      </c>
    </row>
    <row r="4" spans="1:6">
      <c r="A4" s="2" t="s">
        <v>50</v>
      </c>
      <c r="B4" s="9">
        <v>9702.5796000000009</v>
      </c>
      <c r="C4" s="9">
        <v>10381.760172</v>
      </c>
      <c r="D4" s="9">
        <v>11004.66578232</v>
      </c>
      <c r="E4" s="9">
        <v>11554.899071436001</v>
      </c>
      <c r="F4" s="9">
        <v>12132.644025007799</v>
      </c>
    </row>
    <row r="5" spans="1:6">
      <c r="A5" s="2" t="s">
        <v>51</v>
      </c>
      <c r="B5" s="9">
        <v>4158.2484000000004</v>
      </c>
      <c r="C5" s="9">
        <v>4449.3257880000001</v>
      </c>
      <c r="D5" s="9">
        <v>4716.2853352800012</v>
      </c>
      <c r="E5" s="9">
        <v>4952.0996020439979</v>
      </c>
      <c r="F5" s="9">
        <v>5199.7045821462016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
  <sheetViews>
    <sheetView workbookViewId="0">
      <selection activeCell="J8" sqref="J8"/>
    </sheetView>
  </sheetViews>
  <sheetFormatPr defaultRowHeight="15"/>
  <cols>
    <col min="1" max="1" width="18.28515625" bestFit="1" customWidth="1"/>
    <col min="2" max="6" width="9.7109375" bestFit="1" customWidth="1"/>
  </cols>
  <sheetData>
    <row r="1" spans="1:6">
      <c r="A1" s="2" t="s">
        <v>38</v>
      </c>
      <c r="B1" s="2" t="s">
        <v>40</v>
      </c>
      <c r="C1" s="2" t="s">
        <v>41</v>
      </c>
      <c r="D1" s="2" t="s">
        <v>42</v>
      </c>
      <c r="E1" s="2" t="s">
        <v>43</v>
      </c>
      <c r="F1" s="2" t="s">
        <v>44</v>
      </c>
    </row>
    <row r="2" spans="1:6">
      <c r="A2" s="2" t="s">
        <v>12</v>
      </c>
      <c r="B2" s="8">
        <f>'03_Revenue_Forecast'!B5</f>
        <v>277216.56</v>
      </c>
      <c r="C2" s="8">
        <f>'03_Revenue_Forecast'!B6</f>
        <v>296621.71919999999</v>
      </c>
      <c r="D2" s="2">
        <f>'03_Revenue_Forecast'!B7</f>
        <v>314419.022352</v>
      </c>
      <c r="E2" s="2">
        <f>'03_Revenue_Forecast'!B8</f>
        <v>330139.97346960002</v>
      </c>
      <c r="F2" s="2">
        <f>'03_Revenue_Forecast'!B9</f>
        <v>346646.97214308003</v>
      </c>
    </row>
    <row r="3" spans="1:6">
      <c r="A3" s="2" t="s">
        <v>15</v>
      </c>
      <c r="B3" s="9">
        <v>12474.745199999999</v>
      </c>
      <c r="C3" s="9">
        <v>13347.977364</v>
      </c>
      <c r="D3" s="9">
        <v>14148.85600584</v>
      </c>
      <c r="E3" s="9">
        <v>14856.298806131999</v>
      </c>
      <c r="F3" s="9">
        <v>15599.113746438599</v>
      </c>
    </row>
    <row r="4" spans="1:6">
      <c r="A4" s="2" t="s">
        <v>50</v>
      </c>
      <c r="B4" s="9">
        <v>11088.662399999999</v>
      </c>
      <c r="C4" s="9">
        <v>11864.868768</v>
      </c>
      <c r="D4" s="9">
        <v>12576.76089408</v>
      </c>
      <c r="E4" s="9">
        <v>13205.598938784</v>
      </c>
      <c r="F4" s="9">
        <v>13865.878885723199</v>
      </c>
    </row>
    <row r="5" spans="1:6">
      <c r="A5" s="2" t="s">
        <v>51</v>
      </c>
      <c r="B5" s="9">
        <v>1386.0827999999999</v>
      </c>
      <c r="C5" s="9">
        <v>1483.108595999998</v>
      </c>
      <c r="D5" s="9">
        <v>1572.09511176</v>
      </c>
      <c r="E5" s="9">
        <v>1650.6998673479991</v>
      </c>
      <c r="F5" s="9">
        <v>1733.2348607153999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8"/>
  <sheetViews>
    <sheetView workbookViewId="0">
      <selection activeCell="I18" sqref="I18"/>
    </sheetView>
  </sheetViews>
  <sheetFormatPr defaultRowHeight="15"/>
  <cols>
    <col min="1" max="1" width="22.85546875" bestFit="1" customWidth="1"/>
    <col min="2" max="2" width="10.140625" bestFit="1" customWidth="1"/>
    <col min="3" max="5" width="9.7109375" bestFit="1" customWidth="1"/>
    <col min="6" max="6" width="10.140625" bestFit="1" customWidth="1"/>
  </cols>
  <sheetData>
    <row r="1" spans="1:6">
      <c r="A1" s="2" t="s">
        <v>35</v>
      </c>
      <c r="B1" s="6">
        <v>0.13</v>
      </c>
    </row>
    <row r="2" spans="1:6">
      <c r="A2" s="2" t="s">
        <v>36</v>
      </c>
      <c r="B2" s="6">
        <v>2.5000000000000001E-2</v>
      </c>
    </row>
    <row r="4" spans="1:6">
      <c r="A4" s="2" t="s">
        <v>38</v>
      </c>
      <c r="B4" s="2" t="s">
        <v>40</v>
      </c>
      <c r="C4" s="2" t="s">
        <v>41</v>
      </c>
      <c r="D4" s="2" t="s">
        <v>42</v>
      </c>
      <c r="E4" s="2" t="s">
        <v>43</v>
      </c>
      <c r="F4" s="2" t="s">
        <v>44</v>
      </c>
    </row>
    <row r="5" spans="1:6">
      <c r="A5" s="2" t="s">
        <v>52</v>
      </c>
      <c r="B5" s="9">
        <v>4158.2483999999986</v>
      </c>
      <c r="C5" s="9">
        <v>4449.3257880000001</v>
      </c>
      <c r="D5" s="9">
        <v>4716.2853352800003</v>
      </c>
      <c r="E5" s="9">
        <v>4952.0996020439998</v>
      </c>
      <c r="F5" s="9">
        <v>5199.7045821462007</v>
      </c>
    </row>
    <row r="6" spans="1:6">
      <c r="A6" s="2" t="s">
        <v>53</v>
      </c>
      <c r="B6" s="2">
        <v>1</v>
      </c>
      <c r="C6" s="2">
        <v>2</v>
      </c>
      <c r="D6" s="2">
        <v>3</v>
      </c>
      <c r="E6" s="2">
        <v>4</v>
      </c>
      <c r="F6" s="2">
        <v>5</v>
      </c>
    </row>
    <row r="7" spans="1:6">
      <c r="A7" s="2" t="s">
        <v>54</v>
      </c>
      <c r="B7" s="2">
        <v>0.88495575221238942</v>
      </c>
      <c r="C7" s="2">
        <v>0.78314668337379612</v>
      </c>
      <c r="D7" s="2">
        <v>0.69305016227769567</v>
      </c>
      <c r="E7" s="2">
        <v>0.61331872767937679</v>
      </c>
      <c r="F7" s="2">
        <v>0.5427599359994485</v>
      </c>
    </row>
    <row r="8" spans="1:6">
      <c r="A8" s="2" t="s">
        <v>55</v>
      </c>
      <c r="B8" s="9">
        <v>3679.8658407079638</v>
      </c>
      <c r="C8" s="9">
        <v>3484.4747341217021</v>
      </c>
      <c r="D8" s="9">
        <v>3268.622316963721</v>
      </c>
      <c r="E8" s="9">
        <v>3037.2154272671742</v>
      </c>
      <c r="F8" s="9">
        <v>2822.1913262217108</v>
      </c>
    </row>
    <row r="10" spans="1:6">
      <c r="A10" s="2" t="s">
        <v>56</v>
      </c>
      <c r="B10" s="2"/>
      <c r="C10" s="2"/>
      <c r="D10" s="2"/>
      <c r="E10" s="2"/>
      <c r="F10" s="2">
        <v>50759.020920950999</v>
      </c>
    </row>
    <row r="11" spans="1:6">
      <c r="A11" s="2" t="s">
        <v>57</v>
      </c>
      <c r="B11" s="2"/>
      <c r="C11" s="2"/>
      <c r="D11" s="2"/>
      <c r="E11" s="2"/>
      <c r="F11" s="2">
        <v>27549.962946450029</v>
      </c>
    </row>
    <row r="13" spans="1:6">
      <c r="A13" s="2" t="s">
        <v>58</v>
      </c>
      <c r="B13" s="2">
        <v>43842.332591732302</v>
      </c>
    </row>
    <row r="14" spans="1:6">
      <c r="A14" s="2"/>
      <c r="B14" s="2"/>
    </row>
    <row r="15" spans="1:6">
      <c r="A15" s="2" t="s">
        <v>59</v>
      </c>
      <c r="B15" s="1">
        <v>-2953</v>
      </c>
    </row>
    <row r="16" spans="1:6">
      <c r="A16" s="2" t="s">
        <v>60</v>
      </c>
      <c r="B16" s="2">
        <v>46795.332591732302</v>
      </c>
    </row>
    <row r="17" spans="1:2">
      <c r="A17" s="2" t="s">
        <v>61</v>
      </c>
      <c r="B17" s="2">
        <v>591.34</v>
      </c>
    </row>
    <row r="18" spans="1:2">
      <c r="A18" s="2" t="s">
        <v>62</v>
      </c>
      <c r="B18" s="9">
        <v>79.134394074022225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8"/>
  <sheetViews>
    <sheetView workbookViewId="0">
      <selection activeCell="I9" sqref="I9"/>
    </sheetView>
  </sheetViews>
  <sheetFormatPr defaultRowHeight="15"/>
  <cols>
    <col min="1" max="1" width="22.85546875" bestFit="1" customWidth="1"/>
    <col min="2" max="6" width="9.7109375" bestFit="1" customWidth="1"/>
  </cols>
  <sheetData>
    <row r="1" spans="1:6">
      <c r="A1" s="2" t="s">
        <v>35</v>
      </c>
      <c r="B1" s="6">
        <v>0.11</v>
      </c>
      <c r="C1" s="2"/>
      <c r="D1" s="2"/>
      <c r="E1" s="2"/>
      <c r="F1" s="2"/>
    </row>
    <row r="2" spans="1:6">
      <c r="A2" s="2" t="s">
        <v>36</v>
      </c>
      <c r="B2" s="6">
        <v>3.5000000000000003E-2</v>
      </c>
      <c r="C2" s="2"/>
      <c r="D2" s="2"/>
      <c r="E2" s="2"/>
      <c r="F2" s="2"/>
    </row>
    <row r="3" spans="1:6">
      <c r="A3" s="2"/>
      <c r="B3" s="2"/>
      <c r="C3" s="2"/>
      <c r="D3" s="2"/>
      <c r="E3" s="2"/>
      <c r="F3" s="2"/>
    </row>
    <row r="4" spans="1:6">
      <c r="A4" s="2" t="s">
        <v>38</v>
      </c>
      <c r="B4" s="2" t="s">
        <v>40</v>
      </c>
      <c r="C4" s="2" t="s">
        <v>41</v>
      </c>
      <c r="D4" s="2" t="s">
        <v>42</v>
      </c>
      <c r="E4" s="2" t="s">
        <v>43</v>
      </c>
      <c r="F4" s="2" t="s">
        <v>44</v>
      </c>
    </row>
    <row r="5" spans="1:6">
      <c r="A5" s="2" t="s">
        <v>52</v>
      </c>
      <c r="B5" s="9">
        <v>8870.9299200000005</v>
      </c>
      <c r="C5" s="9">
        <v>9491.8950143999991</v>
      </c>
      <c r="D5" s="9">
        <v>10061.408715264</v>
      </c>
      <c r="E5" s="9">
        <v>10564.479151027201</v>
      </c>
      <c r="F5" s="9">
        <v>11092.70310857856</v>
      </c>
    </row>
    <row r="6" spans="1:6">
      <c r="A6" s="2" t="s">
        <v>53</v>
      </c>
      <c r="B6" s="2">
        <v>1</v>
      </c>
      <c r="C6" s="2">
        <v>2</v>
      </c>
      <c r="D6" s="2">
        <v>3</v>
      </c>
      <c r="E6" s="2">
        <v>4</v>
      </c>
      <c r="F6" s="2">
        <v>5</v>
      </c>
    </row>
    <row r="7" spans="1:6">
      <c r="A7" s="2" t="s">
        <v>54</v>
      </c>
      <c r="B7" s="2">
        <v>0.9009009009009008</v>
      </c>
      <c r="C7" s="2">
        <v>0.8116224332440547</v>
      </c>
      <c r="D7" s="2">
        <v>0.73119138130095018</v>
      </c>
      <c r="E7" s="2">
        <v>0.65873097414500015</v>
      </c>
      <c r="F7" s="2">
        <v>0.5934513280585586</v>
      </c>
    </row>
    <row r="8" spans="1:6">
      <c r="A8" s="2" t="s">
        <v>55</v>
      </c>
      <c r="B8" s="9">
        <v>7991.8287567567568</v>
      </c>
      <c r="C8" s="9">
        <v>7703.8349276844392</v>
      </c>
      <c r="D8" s="9">
        <v>7356.8153363473029</v>
      </c>
      <c r="E8" s="9">
        <v>6959.1496424906918</v>
      </c>
      <c r="F8" s="9">
        <v>6582.9793915452483</v>
      </c>
    </row>
    <row r="9" spans="1:6">
      <c r="A9" s="2"/>
      <c r="B9" s="2"/>
      <c r="C9" s="2"/>
      <c r="D9" s="2"/>
      <c r="E9" s="2"/>
      <c r="F9" s="2"/>
    </row>
    <row r="10" spans="1:6">
      <c r="A10" s="2" t="s">
        <v>56</v>
      </c>
      <c r="B10" s="2"/>
      <c r="C10" s="2"/>
      <c r="D10" s="2"/>
      <c r="E10" s="2"/>
      <c r="F10" s="2">
        <v>153079.30289838411</v>
      </c>
    </row>
    <row r="11" spans="1:6">
      <c r="A11" s="2" t="s">
        <v>57</v>
      </c>
      <c r="B11" s="2"/>
      <c r="C11" s="2"/>
      <c r="D11" s="2"/>
      <c r="E11" s="2"/>
      <c r="F11" s="2">
        <v>90845.115603324419</v>
      </c>
    </row>
    <row r="12" spans="1:6">
      <c r="A12" s="2"/>
      <c r="B12" s="2"/>
      <c r="C12" s="2"/>
      <c r="D12" s="2"/>
      <c r="E12" s="2"/>
      <c r="F12" s="2"/>
    </row>
    <row r="13" spans="1:6">
      <c r="A13" s="2" t="s">
        <v>58</v>
      </c>
      <c r="B13" s="2">
        <v>127439.7236581489</v>
      </c>
      <c r="C13" s="2"/>
      <c r="D13" s="2"/>
      <c r="E13" s="2"/>
      <c r="F13" s="2"/>
    </row>
    <row r="14" spans="1:6">
      <c r="A14" s="2"/>
      <c r="B14" s="2"/>
      <c r="C14" s="2"/>
      <c r="D14" s="2"/>
      <c r="E14" s="2"/>
      <c r="F14" s="2"/>
    </row>
    <row r="15" spans="1:6">
      <c r="A15" s="2" t="s">
        <v>59</v>
      </c>
      <c r="B15" s="1">
        <v>-2953</v>
      </c>
      <c r="C15" s="2"/>
      <c r="D15" s="2"/>
      <c r="E15" s="2"/>
      <c r="F15" s="2"/>
    </row>
    <row r="16" spans="1:6">
      <c r="A16" s="2" t="s">
        <v>60</v>
      </c>
      <c r="B16" s="2">
        <v>130392.7236581489</v>
      </c>
      <c r="C16" s="2"/>
      <c r="D16" s="2"/>
      <c r="E16" s="2"/>
      <c r="F16" s="2"/>
    </row>
    <row r="17" spans="1:6">
      <c r="A17" s="2" t="s">
        <v>61</v>
      </c>
      <c r="B17" s="2">
        <v>591.34</v>
      </c>
      <c r="C17" s="2"/>
      <c r="D17" s="2"/>
      <c r="E17" s="2"/>
      <c r="F17" s="2"/>
    </row>
    <row r="18" spans="1:6">
      <c r="A18" s="2" t="s">
        <v>62</v>
      </c>
      <c r="B18" s="9">
        <v>220.50381110384691</v>
      </c>
      <c r="C18" s="2"/>
      <c r="D18" s="2"/>
      <c r="E18" s="2"/>
      <c r="F18" s="2"/>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8"/>
  <sheetViews>
    <sheetView workbookViewId="0">
      <selection activeCell="F17" sqref="F17"/>
    </sheetView>
  </sheetViews>
  <sheetFormatPr defaultRowHeight="15"/>
  <cols>
    <col min="1" max="1" width="22.85546875" bestFit="1" customWidth="1"/>
    <col min="2" max="6" width="9.7109375" bestFit="1" customWidth="1"/>
  </cols>
  <sheetData>
    <row r="1" spans="1:6">
      <c r="A1" s="2" t="s">
        <v>35</v>
      </c>
      <c r="B1" s="6">
        <f>'02_Key_Assumptions_Base'!B14</f>
        <v>0.12</v>
      </c>
      <c r="C1" s="2"/>
      <c r="D1" s="2"/>
      <c r="E1" s="2"/>
      <c r="F1" s="2"/>
    </row>
    <row r="2" spans="1:6">
      <c r="A2" s="2" t="s">
        <v>36</v>
      </c>
      <c r="B2" s="6">
        <f>'02_Key_Assumptions_Base'!B15</f>
        <v>0.03</v>
      </c>
      <c r="C2" s="2"/>
      <c r="D2" s="2"/>
      <c r="E2" s="2"/>
      <c r="F2" s="2"/>
    </row>
    <row r="3" spans="1:6">
      <c r="A3" s="2"/>
      <c r="B3" s="2"/>
      <c r="C3" s="2"/>
      <c r="D3" s="2"/>
      <c r="E3" s="2"/>
      <c r="F3" s="2"/>
    </row>
    <row r="4" spans="1:6">
      <c r="A4" s="2" t="s">
        <v>38</v>
      </c>
      <c r="B4" s="2" t="s">
        <v>40</v>
      </c>
      <c r="C4" s="2" t="s">
        <v>41</v>
      </c>
      <c r="D4" s="2" t="s">
        <v>42</v>
      </c>
      <c r="E4" s="2" t="s">
        <v>43</v>
      </c>
      <c r="F4" s="2" t="s">
        <v>44</v>
      </c>
    </row>
    <row r="5" spans="1:6">
      <c r="A5" s="2" t="s">
        <v>52</v>
      </c>
      <c r="B5" s="9">
        <v>6930.4140000000007</v>
      </c>
      <c r="C5" s="9">
        <v>7415.5429800000002</v>
      </c>
      <c r="D5" s="9">
        <v>7860.4755588000007</v>
      </c>
      <c r="E5" s="9">
        <v>8253.4993367400002</v>
      </c>
      <c r="F5" s="9">
        <v>8666.1743035770014</v>
      </c>
    </row>
    <row r="6" spans="1:6">
      <c r="A6" s="2" t="s">
        <v>53</v>
      </c>
      <c r="B6" s="2">
        <v>1</v>
      </c>
      <c r="C6" s="2">
        <v>2</v>
      </c>
      <c r="D6" s="2">
        <v>3</v>
      </c>
      <c r="E6" s="2">
        <v>4</v>
      </c>
      <c r="F6" s="2">
        <v>5</v>
      </c>
    </row>
    <row r="7" spans="1:6">
      <c r="A7" s="2" t="s">
        <v>54</v>
      </c>
      <c r="B7" s="2">
        <v>0.89285714285714279</v>
      </c>
      <c r="C7" s="2">
        <v>0.79719387755102034</v>
      </c>
      <c r="D7" s="2">
        <v>0.71178024781341087</v>
      </c>
      <c r="E7" s="2">
        <v>0.6355180784048311</v>
      </c>
      <c r="F7" s="2">
        <v>0.56742685571859919</v>
      </c>
    </row>
    <row r="8" spans="1:6">
      <c r="A8" s="2" t="s">
        <v>55</v>
      </c>
      <c r="B8" s="9">
        <v>6187.8696428571429</v>
      </c>
      <c r="C8" s="9">
        <v>5911.625462372449</v>
      </c>
      <c r="D8" s="9">
        <v>5594.9312411739238</v>
      </c>
      <c r="E8" s="9">
        <v>5245.2480386005527</v>
      </c>
      <c r="F8" s="9">
        <v>4917.4200361880194</v>
      </c>
    </row>
    <row r="9" spans="1:6">
      <c r="A9" s="2"/>
      <c r="B9" s="2"/>
      <c r="C9" s="2"/>
      <c r="D9" s="2"/>
      <c r="E9" s="2"/>
      <c r="F9" s="2"/>
    </row>
    <row r="10" spans="1:6">
      <c r="A10" s="2" t="s">
        <v>56</v>
      </c>
      <c r="B10" s="2"/>
      <c r="C10" s="2"/>
      <c r="D10" s="2"/>
      <c r="E10" s="2"/>
      <c r="F10" s="2">
        <v>99179.550363159025</v>
      </c>
    </row>
    <row r="11" spans="1:6">
      <c r="A11" s="2" t="s">
        <v>57</v>
      </c>
      <c r="B11" s="2"/>
      <c r="C11" s="2"/>
      <c r="D11" s="2"/>
      <c r="E11" s="2"/>
      <c r="F11" s="2">
        <v>56277.140414151778</v>
      </c>
    </row>
    <row r="12" spans="1:6">
      <c r="A12" s="2"/>
      <c r="B12" s="2"/>
      <c r="C12" s="2"/>
      <c r="D12" s="2"/>
      <c r="E12" s="2"/>
      <c r="F12" s="2"/>
    </row>
    <row r="13" spans="1:6">
      <c r="A13" s="2" t="s">
        <v>58</v>
      </c>
      <c r="B13" s="9">
        <v>84134.234835343872</v>
      </c>
      <c r="C13" s="2"/>
      <c r="D13" s="2"/>
      <c r="E13" s="2"/>
      <c r="F13" s="2"/>
    </row>
    <row r="14" spans="1:6">
      <c r="A14" s="2"/>
      <c r="B14" s="2"/>
      <c r="C14" s="2"/>
      <c r="D14" s="2"/>
      <c r="E14" s="2"/>
      <c r="F14" s="2"/>
    </row>
    <row r="15" spans="1:6">
      <c r="A15" s="2" t="s">
        <v>59</v>
      </c>
      <c r="B15" s="1">
        <v>-2953</v>
      </c>
      <c r="C15" s="2"/>
      <c r="D15" s="2"/>
      <c r="E15" s="2"/>
      <c r="F15" s="2"/>
    </row>
    <row r="16" spans="1:6">
      <c r="A16" s="2" t="s">
        <v>60</v>
      </c>
      <c r="B16" s="9">
        <v>87087.234835343872</v>
      </c>
      <c r="C16" s="2"/>
      <c r="D16" s="2"/>
      <c r="E16" s="2"/>
      <c r="F16" s="2"/>
    </row>
    <row r="17" spans="1:6">
      <c r="A17" s="2" t="s">
        <v>61</v>
      </c>
      <c r="B17" s="2">
        <v>591.34</v>
      </c>
      <c r="C17" s="2"/>
      <c r="D17" s="2"/>
      <c r="E17" s="2"/>
      <c r="F17" s="2"/>
    </row>
    <row r="18" spans="1:6">
      <c r="A18" s="2" t="s">
        <v>62</v>
      </c>
      <c r="B18" s="9">
        <v>147.27100286695281</v>
      </c>
      <c r="C18" s="2"/>
      <c r="D18" s="2"/>
      <c r="E18" s="2"/>
      <c r="F18" s="2"/>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
  <sheetViews>
    <sheetView workbookViewId="0">
      <selection activeCell="J3" sqref="J3"/>
    </sheetView>
  </sheetViews>
  <sheetFormatPr defaultRowHeight="15"/>
  <cols>
    <col min="1" max="1" width="22.85546875" bestFit="1" customWidth="1"/>
    <col min="2" max="6" width="9.7109375" bestFit="1" customWidth="1"/>
  </cols>
  <sheetData>
    <row r="1" spans="1:6">
      <c r="A1" s="14" t="s">
        <v>63</v>
      </c>
    </row>
    <row r="3" spans="1:6">
      <c r="A3" s="9" t="s">
        <v>35</v>
      </c>
      <c r="B3" s="9">
        <f>'02_Key_Assumptions'!B14</f>
        <v>0.12</v>
      </c>
      <c r="C3" s="9"/>
      <c r="D3" s="9"/>
      <c r="E3" s="9"/>
      <c r="F3" s="9"/>
    </row>
    <row r="4" spans="1:6">
      <c r="A4" s="9" t="s">
        <v>36</v>
      </c>
      <c r="B4" s="9" t="s">
        <v>64</v>
      </c>
      <c r="C4" s="9" t="s">
        <v>65</v>
      </c>
      <c r="D4" s="9" t="s">
        <v>66</v>
      </c>
      <c r="E4" s="9" t="s">
        <v>67</v>
      </c>
      <c r="F4" s="9" t="s">
        <v>68</v>
      </c>
    </row>
    <row r="5" spans="1:6">
      <c r="A5" s="9"/>
      <c r="B5" s="9"/>
      <c r="C5" s="9"/>
      <c r="D5" s="9"/>
      <c r="E5" s="9"/>
      <c r="F5" s="9"/>
    </row>
    <row r="6" spans="1:6">
      <c r="A6" s="9" t="s">
        <v>38</v>
      </c>
      <c r="B6" s="9" t="s">
        <v>40</v>
      </c>
      <c r="C6" s="9" t="s">
        <v>41</v>
      </c>
      <c r="D6" s="9" t="s">
        <v>42</v>
      </c>
      <c r="E6" s="9" t="s">
        <v>43</v>
      </c>
      <c r="F6" s="9" t="s">
        <v>44</v>
      </c>
    </row>
    <row r="7" spans="1:6">
      <c r="A7" s="9" t="s">
        <v>52</v>
      </c>
      <c r="B7" s="9">
        <v>1386.082799999999</v>
      </c>
      <c r="C7" s="9">
        <v>1483.1085959999989</v>
      </c>
      <c r="D7" s="9">
        <v>1572.0951117599991</v>
      </c>
      <c r="E7" s="9">
        <v>1650.6998673479991</v>
      </c>
      <c r="F7" s="9">
        <v>1733.234860715399</v>
      </c>
    </row>
    <row r="8" spans="1:6">
      <c r="A8" s="9" t="s">
        <v>53</v>
      </c>
      <c r="B8" s="9">
        <v>1</v>
      </c>
      <c r="C8" s="9">
        <v>2</v>
      </c>
      <c r="D8" s="9">
        <v>3</v>
      </c>
      <c r="E8" s="9">
        <v>4</v>
      </c>
      <c r="F8" s="9">
        <v>5</v>
      </c>
    </row>
    <row r="9" spans="1:6">
      <c r="A9" s="9" t="s">
        <v>54</v>
      </c>
      <c r="B9" s="9">
        <v>0.89285714285714279</v>
      </c>
      <c r="C9" s="9">
        <v>0.79719387755102034</v>
      </c>
      <c r="D9" s="9">
        <v>0.71178024781341087</v>
      </c>
      <c r="E9" s="9">
        <v>0.6355180784048311</v>
      </c>
      <c r="F9" s="9">
        <v>0.56742685571859919</v>
      </c>
    </row>
    <row r="10" spans="1:6">
      <c r="A10" s="9" t="s">
        <v>55</v>
      </c>
      <c r="B10" s="9">
        <v>1237.573928571428</v>
      </c>
      <c r="C10" s="9">
        <v>1182.3250924744891</v>
      </c>
      <c r="D10" s="9">
        <v>1118.9862482347839</v>
      </c>
      <c r="E10" s="9">
        <v>1049.0496077201101</v>
      </c>
      <c r="F10" s="9">
        <v>983.48400723760324</v>
      </c>
    </row>
    <row r="11" spans="1:6">
      <c r="A11" s="9"/>
      <c r="B11" s="9"/>
      <c r="C11" s="9"/>
      <c r="D11" s="9"/>
      <c r="E11" s="9"/>
      <c r="F11" s="9"/>
    </row>
    <row r="12" spans="1:6">
      <c r="A12" s="9" t="s">
        <v>56</v>
      </c>
      <c r="B12" s="9"/>
      <c r="C12" s="9"/>
      <c r="D12" s="9"/>
      <c r="E12" s="9"/>
      <c r="F12" s="9">
        <v>19835.910072631788</v>
      </c>
    </row>
    <row r="13" spans="1:6">
      <c r="A13" s="9" t="s">
        <v>57</v>
      </c>
      <c r="B13" s="9"/>
      <c r="C13" s="9"/>
      <c r="D13" s="9"/>
      <c r="E13" s="9"/>
      <c r="F13" s="9">
        <v>11255.428082830351</v>
      </c>
    </row>
    <row r="14" spans="1:6">
      <c r="A14" s="9"/>
      <c r="B14" s="9"/>
      <c r="C14" s="9"/>
      <c r="D14" s="9"/>
      <c r="E14" s="9"/>
      <c r="F14" s="9"/>
    </row>
    <row r="15" spans="1:6">
      <c r="A15" s="9" t="s">
        <v>58</v>
      </c>
      <c r="B15" s="9">
        <v>16826.846967068759</v>
      </c>
      <c r="C15" s="9"/>
      <c r="D15" s="9"/>
      <c r="E15" s="9"/>
      <c r="F15" s="9"/>
    </row>
    <row r="16" spans="1:6">
      <c r="A16" s="9"/>
      <c r="B16" s="9"/>
      <c r="C16" s="9"/>
      <c r="D16" s="9"/>
      <c r="E16" s="9"/>
      <c r="F16" s="9"/>
    </row>
    <row r="17" spans="1:6">
      <c r="A17" s="9" t="s">
        <v>59</v>
      </c>
      <c r="B17" s="10">
        <v>-2953</v>
      </c>
      <c r="C17" s="9"/>
      <c r="D17" s="9"/>
      <c r="E17" s="9"/>
      <c r="F17" s="9"/>
    </row>
    <row r="18" spans="1:6">
      <c r="A18" s="9" t="s">
        <v>60</v>
      </c>
      <c r="B18" s="9">
        <v>19779.846967068759</v>
      </c>
      <c r="C18" s="9"/>
      <c r="D18" s="9"/>
      <c r="E18" s="9"/>
      <c r="F18" s="9"/>
    </row>
    <row r="19" spans="1:6">
      <c r="A19" s="9" t="s">
        <v>61</v>
      </c>
      <c r="B19" s="9">
        <v>591.34</v>
      </c>
      <c r="C19" s="9"/>
      <c r="D19" s="9"/>
      <c r="E19" s="9"/>
      <c r="F19" s="9"/>
    </row>
    <row r="20" spans="1:6">
      <c r="A20" s="9" t="s">
        <v>62</v>
      </c>
      <c r="B20" s="9">
        <v>33.44919499284466</v>
      </c>
      <c r="C20" s="9"/>
      <c r="D20" s="9"/>
      <c r="E20" s="9"/>
      <c r="F20" s="9"/>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A5652-6E3E-4D52-85D5-66614B42AAFE}">
  <dimension ref="A1:M19"/>
  <sheetViews>
    <sheetView tabSelected="1" workbookViewId="0">
      <selection activeCell="L1" sqref="L1:L1048576"/>
    </sheetView>
  </sheetViews>
  <sheetFormatPr defaultRowHeight="15"/>
  <cols>
    <col min="1" max="1" width="10.42578125" bestFit="1" customWidth="1"/>
    <col min="2" max="2" width="14" bestFit="1" customWidth="1"/>
    <col min="3" max="3" width="13" bestFit="1" customWidth="1"/>
    <col min="6" max="6" width="16.5703125" bestFit="1" customWidth="1"/>
    <col min="12" max="12" width="15.7109375" bestFit="1" customWidth="1"/>
    <col min="13" max="13" width="15" bestFit="1" customWidth="1"/>
  </cols>
  <sheetData>
    <row r="1" spans="1:13" ht="18.75">
      <c r="A1" s="46" t="s">
        <v>69</v>
      </c>
      <c r="B1" s="47"/>
      <c r="C1" s="47"/>
      <c r="D1" s="47"/>
      <c r="E1" s="47"/>
      <c r="F1" s="47"/>
      <c r="G1" s="47"/>
      <c r="H1" s="48"/>
      <c r="I1" s="16"/>
    </row>
    <row r="2" spans="1:13">
      <c r="A2" s="49" t="s">
        <v>70</v>
      </c>
      <c r="B2" s="50"/>
      <c r="C2" s="50"/>
      <c r="D2" s="50"/>
      <c r="E2" s="50"/>
      <c r="F2" s="50"/>
      <c r="G2" s="50"/>
      <c r="H2" s="51"/>
      <c r="I2" s="16"/>
    </row>
    <row r="3" spans="1:13">
      <c r="A3" s="15"/>
      <c r="B3" s="16"/>
      <c r="C3" s="16"/>
      <c r="D3" s="16"/>
      <c r="E3" s="52"/>
      <c r="F3" s="52"/>
      <c r="G3" s="16"/>
      <c r="H3" s="16"/>
      <c r="I3" s="16"/>
      <c r="K3" s="7"/>
      <c r="L3" s="7" t="s">
        <v>71</v>
      </c>
      <c r="M3" s="7" t="s">
        <v>72</v>
      </c>
    </row>
    <row r="4" spans="1:13">
      <c r="A4" s="43" t="s">
        <v>73</v>
      </c>
      <c r="B4" s="44"/>
      <c r="C4" s="44"/>
      <c r="D4" s="45"/>
      <c r="E4" s="16"/>
      <c r="F4" s="43" t="s">
        <v>74</v>
      </c>
      <c r="G4" s="44"/>
      <c r="H4" s="45"/>
      <c r="I4" s="16"/>
      <c r="K4" s="7" t="s">
        <v>75</v>
      </c>
      <c r="L4" s="7">
        <v>79.13</v>
      </c>
      <c r="M4" s="7">
        <v>264</v>
      </c>
    </row>
    <row r="5" spans="1:13" ht="25.5">
      <c r="A5" s="17" t="s">
        <v>76</v>
      </c>
      <c r="B5" s="17" t="s">
        <v>71</v>
      </c>
      <c r="C5" s="17" t="s">
        <v>72</v>
      </c>
      <c r="D5" s="18" t="s">
        <v>77</v>
      </c>
      <c r="E5" s="16"/>
      <c r="F5" s="17" t="s">
        <v>23</v>
      </c>
      <c r="G5" s="17" t="s">
        <v>75</v>
      </c>
      <c r="H5" s="17" t="s">
        <v>78</v>
      </c>
      <c r="I5" s="17" t="s">
        <v>79</v>
      </c>
      <c r="K5" s="7" t="s">
        <v>78</v>
      </c>
      <c r="L5" s="7">
        <v>147.27000000000001</v>
      </c>
      <c r="M5" s="7">
        <v>264</v>
      </c>
    </row>
    <row r="6" spans="1:13">
      <c r="A6" s="19" t="s">
        <v>80</v>
      </c>
      <c r="B6" s="20" t="s">
        <v>81</v>
      </c>
      <c r="C6" s="21" t="s">
        <v>81</v>
      </c>
      <c r="D6" s="21" t="s">
        <v>82</v>
      </c>
      <c r="E6" s="16"/>
      <c r="F6" s="22" t="s">
        <v>35</v>
      </c>
      <c r="G6" s="41" t="s">
        <v>83</v>
      </c>
      <c r="H6" s="41" t="s">
        <v>84</v>
      </c>
      <c r="I6" s="41" t="s">
        <v>85</v>
      </c>
      <c r="K6" s="7" t="s">
        <v>79</v>
      </c>
      <c r="L6" s="7">
        <v>220.5</v>
      </c>
      <c r="M6" s="7">
        <v>264</v>
      </c>
    </row>
    <row r="7" spans="1:13">
      <c r="A7" s="23" t="s">
        <v>86</v>
      </c>
      <c r="B7" s="24" t="s">
        <v>87</v>
      </c>
      <c r="C7" s="25" t="s">
        <v>81</v>
      </c>
      <c r="D7" s="26" t="s">
        <v>88</v>
      </c>
      <c r="E7" s="16"/>
      <c r="F7" s="27" t="s">
        <v>89</v>
      </c>
      <c r="G7" s="42" t="s">
        <v>90</v>
      </c>
      <c r="H7" s="42" t="s">
        <v>91</v>
      </c>
      <c r="I7" s="42" t="s">
        <v>92</v>
      </c>
    </row>
    <row r="8" spans="1:13">
      <c r="A8" s="28" t="s">
        <v>93</v>
      </c>
      <c r="B8" s="29" t="s">
        <v>94</v>
      </c>
      <c r="C8" s="30" t="s">
        <v>81</v>
      </c>
      <c r="D8" s="31" t="s">
        <v>95</v>
      </c>
      <c r="E8" s="16"/>
      <c r="F8" s="22" t="s">
        <v>96</v>
      </c>
      <c r="G8" s="41" t="s">
        <v>97</v>
      </c>
      <c r="H8" s="41" t="s">
        <v>98</v>
      </c>
      <c r="I8" s="41" t="s">
        <v>99</v>
      </c>
    </row>
    <row r="9" spans="1:13">
      <c r="A9" s="32" t="s">
        <v>100</v>
      </c>
      <c r="B9" s="33" t="s">
        <v>101</v>
      </c>
      <c r="C9" s="34" t="s">
        <v>81</v>
      </c>
      <c r="D9" s="35" t="s">
        <v>102</v>
      </c>
      <c r="E9" s="16"/>
      <c r="F9" s="27" t="s">
        <v>34</v>
      </c>
      <c r="G9" s="42" t="s">
        <v>92</v>
      </c>
      <c r="H9" s="42" t="s">
        <v>91</v>
      </c>
      <c r="I9" s="42" t="s">
        <v>103</v>
      </c>
    </row>
    <row r="10" spans="1:13">
      <c r="A10" s="16"/>
      <c r="B10" s="16"/>
      <c r="C10" s="16"/>
      <c r="D10" s="16"/>
      <c r="E10" s="16"/>
      <c r="F10" s="22" t="s">
        <v>104</v>
      </c>
      <c r="G10" s="36">
        <v>1.4999999999999999E-2</v>
      </c>
      <c r="H10" s="36">
        <v>2.5000000000000001E-2</v>
      </c>
      <c r="I10" s="36">
        <v>3.2000000000000001E-2</v>
      </c>
    </row>
    <row r="11" spans="1:13">
      <c r="A11" s="16"/>
      <c r="B11" s="16"/>
      <c r="C11" s="16"/>
      <c r="D11" s="16"/>
      <c r="E11" s="52"/>
      <c r="F11" s="52"/>
      <c r="G11" s="16"/>
      <c r="H11" s="16"/>
      <c r="I11" s="16"/>
    </row>
    <row r="12" spans="1:13">
      <c r="A12" s="43" t="s">
        <v>105</v>
      </c>
      <c r="B12" s="44"/>
      <c r="C12" s="44"/>
      <c r="D12" s="45"/>
      <c r="E12" s="16"/>
      <c r="F12" s="43" t="s">
        <v>106</v>
      </c>
      <c r="G12" s="44"/>
      <c r="H12" s="45"/>
      <c r="I12" s="37"/>
    </row>
    <row r="13" spans="1:13" ht="38.25">
      <c r="A13" s="17"/>
      <c r="B13" s="17" t="s">
        <v>71</v>
      </c>
      <c r="C13" s="17" t="s">
        <v>72</v>
      </c>
      <c r="D13" s="18" t="s">
        <v>107</v>
      </c>
      <c r="E13" s="16"/>
      <c r="F13" s="17" t="s">
        <v>108</v>
      </c>
      <c r="G13" s="17" t="s">
        <v>9</v>
      </c>
      <c r="H13" s="17" t="s">
        <v>10</v>
      </c>
      <c r="I13" s="17" t="s">
        <v>11</v>
      </c>
    </row>
    <row r="14" spans="1:13">
      <c r="A14" s="24" t="s">
        <v>75</v>
      </c>
      <c r="B14" s="24" t="s">
        <v>87</v>
      </c>
      <c r="C14" s="25" t="s">
        <v>81</v>
      </c>
      <c r="D14" s="26" t="s">
        <v>88</v>
      </c>
      <c r="E14" s="16"/>
      <c r="F14" s="38" t="s">
        <v>109</v>
      </c>
      <c r="G14" s="38" t="s">
        <v>110</v>
      </c>
      <c r="H14" s="38" t="s">
        <v>111</v>
      </c>
      <c r="I14" s="38" t="s">
        <v>112</v>
      </c>
    </row>
    <row r="15" spans="1:13">
      <c r="A15" s="29" t="s">
        <v>78</v>
      </c>
      <c r="B15" s="29" t="s">
        <v>94</v>
      </c>
      <c r="C15" s="30" t="s">
        <v>81</v>
      </c>
      <c r="D15" s="31" t="s">
        <v>95</v>
      </c>
      <c r="E15" s="16"/>
      <c r="F15" s="39" t="s">
        <v>113</v>
      </c>
      <c r="G15" s="39" t="s">
        <v>114</v>
      </c>
      <c r="H15" s="39" t="s">
        <v>115</v>
      </c>
      <c r="I15" s="39" t="s">
        <v>116</v>
      </c>
    </row>
    <row r="16" spans="1:13">
      <c r="A16" s="33" t="s">
        <v>79</v>
      </c>
      <c r="B16" s="33" t="s">
        <v>101</v>
      </c>
      <c r="C16" s="34" t="s">
        <v>81</v>
      </c>
      <c r="D16" s="35" t="s">
        <v>102</v>
      </c>
      <c r="E16" s="16"/>
      <c r="F16" s="40" t="s">
        <v>117</v>
      </c>
      <c r="G16" s="40" t="s">
        <v>118</v>
      </c>
      <c r="H16" s="40" t="s">
        <v>119</v>
      </c>
      <c r="I16" s="40" t="s">
        <v>120</v>
      </c>
    </row>
    <row r="17" spans="1:9">
      <c r="A17" s="16"/>
      <c r="B17" s="16"/>
      <c r="C17" s="16"/>
      <c r="D17" s="16"/>
      <c r="E17" s="16"/>
      <c r="F17" s="39" t="s">
        <v>121</v>
      </c>
      <c r="G17" s="39" t="s">
        <v>122</v>
      </c>
      <c r="H17" s="39" t="s">
        <v>123</v>
      </c>
      <c r="I17" s="39" t="s">
        <v>124</v>
      </c>
    </row>
    <row r="18" spans="1:9">
      <c r="A18" s="16"/>
      <c r="B18" s="16"/>
      <c r="C18" s="16"/>
      <c r="D18" s="16"/>
      <c r="E18" s="16"/>
      <c r="F18" s="38" t="s">
        <v>125</v>
      </c>
      <c r="G18" s="38" t="s">
        <v>126</v>
      </c>
      <c r="H18" s="38" t="s">
        <v>127</v>
      </c>
      <c r="I18" s="38" t="s">
        <v>128</v>
      </c>
    </row>
    <row r="19" spans="1:9">
      <c r="A19" s="16"/>
      <c r="B19" s="16"/>
      <c r="C19" s="16"/>
      <c r="D19" s="16"/>
      <c r="E19" s="16"/>
      <c r="F19" s="39" t="s">
        <v>129</v>
      </c>
      <c r="G19" s="39" t="s">
        <v>130</v>
      </c>
      <c r="H19" s="39" t="s">
        <v>131</v>
      </c>
      <c r="I19" s="39" t="s">
        <v>132</v>
      </c>
    </row>
  </sheetData>
  <mergeCells count="8">
    <mergeCell ref="A12:D12"/>
    <mergeCell ref="F12:H12"/>
    <mergeCell ref="A1:H1"/>
    <mergeCell ref="A2:H2"/>
    <mergeCell ref="E3:F3"/>
    <mergeCell ref="A4:D4"/>
    <mergeCell ref="F4:H4"/>
    <mergeCell ref="E11:F11"/>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30"/>
  <sheetViews>
    <sheetView workbookViewId="0"/>
  </sheetViews>
  <sheetFormatPr defaultRowHeight="15"/>
  <cols>
    <col min="1" max="1" width="36.5703125" bestFit="1" customWidth="1"/>
    <col min="2" max="2" width="14.28515625" bestFit="1" customWidth="1"/>
  </cols>
  <sheetData>
    <row r="1" spans="1:2" ht="26.25" customHeight="1">
      <c r="A1" s="11" t="s">
        <v>133</v>
      </c>
    </row>
    <row r="2" spans="1:2">
      <c r="A2" s="7" t="s">
        <v>134</v>
      </c>
    </row>
    <row r="5" spans="1:2">
      <c r="A5" s="7" t="s">
        <v>108</v>
      </c>
      <c r="B5" s="7" t="s">
        <v>24</v>
      </c>
    </row>
    <row r="6" spans="1:2">
      <c r="A6" s="2" t="s">
        <v>135</v>
      </c>
      <c r="B6" s="12">
        <v>264</v>
      </c>
    </row>
    <row r="7" spans="1:2">
      <c r="A7" s="2" t="s">
        <v>136</v>
      </c>
      <c r="B7" s="12">
        <v>147.27000000000001</v>
      </c>
    </row>
    <row r="8" spans="1:2">
      <c r="A8" s="2" t="s">
        <v>137</v>
      </c>
      <c r="B8" s="12">
        <v>79.13</v>
      </c>
    </row>
    <row r="9" spans="1:2">
      <c r="A9" s="2" t="s">
        <v>138</v>
      </c>
      <c r="B9" s="12">
        <v>220.5</v>
      </c>
    </row>
    <row r="10" spans="1:2">
      <c r="A10" s="2" t="s">
        <v>139</v>
      </c>
      <c r="B10" s="13">
        <v>-0.44215529217063337</v>
      </c>
    </row>
    <row r="14" spans="1:2">
      <c r="A14" s="7" t="s">
        <v>140</v>
      </c>
    </row>
    <row r="16" spans="1:2" ht="201.75" customHeight="1">
      <c r="A16" s="1" t="s">
        <v>141</v>
      </c>
    </row>
    <row r="19" spans="1:1">
      <c r="A19" s="7" t="s">
        <v>142</v>
      </c>
    </row>
    <row r="21" spans="1:1" ht="57.75" customHeight="1">
      <c r="A21" s="1" t="s">
        <v>143</v>
      </c>
    </row>
    <row r="23" spans="1:1">
      <c r="A23" s="7" t="s">
        <v>144</v>
      </c>
    </row>
    <row r="25" spans="1:1" ht="144.75" customHeight="1">
      <c r="A25" s="1" t="s">
        <v>145</v>
      </c>
    </row>
    <row r="28" spans="1:1">
      <c r="A28" s="7" t="s">
        <v>146</v>
      </c>
    </row>
    <row r="30" spans="1:1" ht="303.75" customHeight="1">
      <c r="A30" s="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2026-02-11T07:37:26Z</dcterms:created>
  <dcterms:modified xsi:type="dcterms:W3CDTF">2026-02-23T13:11:54Z</dcterms:modified>
  <cp:category/>
  <cp:contentStatus/>
</cp:coreProperties>
</file>